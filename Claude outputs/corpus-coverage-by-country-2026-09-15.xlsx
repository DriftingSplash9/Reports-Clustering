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by country" sheetId="1" state="visible" r:id="rId3"/>
    <sheet name="Notes" sheetId="2" state="visible" r:id="rId4"/>
    <sheet name="By category" sheetId="3" state="visible" r:id="rId5"/>
    <sheet name="By continent" sheetId="4" state="visible" r:id="rId6"/>
    <sheet name="Where to go next (2026-09-10)" sheetId="5" state="visible" r:id="rId7"/>
  </sheets>
  <definedNames>
    <definedName function="false" hidden="false" localSheetId="2" name="_xlnm.Print_Titles" vbProcedure="false">'By category'!$1:$1</definedName>
    <definedName function="false" hidden="false" localSheetId="3" name="_xlnm.Print_Titles" vbProcedure="false">'By continent'!$1:$1</definedName>
    <definedName function="false" hidden="false" localSheetId="0" name="_xlnm.Print_Titles" vbProcedure="false">'Coverage by country'!$1:$1</definedName>
    <definedName function="false" hidden="true" localSheetId="0" name="_xlnm._FilterDatabase" vbProcedure="false">'Coverage by country'!$A$1:$Q$201</definedName>
    <definedName function="false" hidden="false" localSheetId="4" name="_xlnm.Print_Titles" vbProcedure="false">'Where to go next (2026-09-10)'!$1:$1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<sst xmlns="http://schemas.openxmlformats.org/spreadsheetml/2006/main" count="1453" uniqueCount="525">
  <si>
    <t xml:space="preserve">Code</t>
  </si>
  <si>
    <t xml:space="preserve">Country / body</t>
  </si>
  <si>
    <t xml:space="preserve">Continent</t>
  </si>
  <si>
    <t xml:space="preserve">Category</t>
  </si>
  <si>
    <t xml:space="preserve">Population</t>
  </si>
  <si>
    <t xml:space="preserve">Pop. year</t>
  </si>
  <si>
    <t xml:space="preserve">Nodes</t>
  </si>
  <si>
    <t xml:space="preserve">Edges touching</t>
  </si>
  <si>
    <t xml:space="preserve">Unassigned (zero-edge) nodes</t>
  </si>
  <si>
    <t xml:space="preserve">% unassigned</t>
  </si>
  <si>
    <t xml:space="preserve">Nodes per million people</t>
  </si>
  <si>
    <t xml:space="preserve">Edges per node</t>
  </si>
  <si>
    <t xml:space="preserve">World Bank income group</t>
  </si>
  <si>
    <t xml:space="preserve">Conflict deaths 2024</t>
  </si>
  <si>
    <t xml:space="preserve">Internal edges</t>
  </si>
  <si>
    <t xml:space="preserve">Outbound</t>
  </si>
  <si>
    <t xml:space="preserve">Inbound</t>
  </si>
  <si>
    <t xml:space="preserve">RU</t>
  </si>
  <si>
    <t xml:space="preserve">Russia</t>
  </si>
  <si>
    <t xml:space="preserve">Asia</t>
  </si>
  <si>
    <t xml:space="preserve">At war</t>
  </si>
  <si>
    <t xml:space="preserve">2025</t>
  </si>
  <si>
    <t xml:space="preserve">High income</t>
  </si>
  <si>
    <t xml:space="preserve">MX</t>
  </si>
  <si>
    <t xml:space="preserve">Mexico</t>
  </si>
  <si>
    <t xml:space="preserve">North America</t>
  </si>
  <si>
    <t xml:space="preserve">Upper middle income</t>
  </si>
  <si>
    <t xml:space="preserve">ET</t>
  </si>
  <si>
    <t xml:space="preserve">Ethiopia</t>
  </si>
  <si>
    <t xml:space="preserve">Africa</t>
  </si>
  <si>
    <t xml:space="preserve">Low income</t>
  </si>
  <si>
    <t xml:space="preserve">CO</t>
  </si>
  <si>
    <t xml:space="preserve">Colombia</t>
  </si>
  <si>
    <t xml:space="preserve">South America</t>
  </si>
  <si>
    <t xml:space="preserve">NG</t>
  </si>
  <si>
    <t xml:space="preserve">Nigeria</t>
  </si>
  <si>
    <t xml:space="preserve">Lower middle income</t>
  </si>
  <si>
    <t xml:space="preserve">AF</t>
  </si>
  <si>
    <t xml:space="preserve">Afghanistan</t>
  </si>
  <si>
    <t xml:space="preserve">MM</t>
  </si>
  <si>
    <t xml:space="preserve">Myanmar</t>
  </si>
  <si>
    <t xml:space="preserve">SD</t>
  </si>
  <si>
    <t xml:space="preserve">Sudan</t>
  </si>
  <si>
    <t xml:space="preserve">BF</t>
  </si>
  <si>
    <t xml:space="preserve">Burkina Faso</t>
  </si>
  <si>
    <t xml:space="preserve">SO</t>
  </si>
  <si>
    <t xml:space="preserve">Somalia</t>
  </si>
  <si>
    <t xml:space="preserve">ML</t>
  </si>
  <si>
    <t xml:space="preserve">Mali</t>
  </si>
  <si>
    <t xml:space="preserve">CD</t>
  </si>
  <si>
    <t xml:space="preserve">Democratic Republic of the Congo</t>
  </si>
  <si>
    <t xml:space="preserve">SY</t>
  </si>
  <si>
    <t xml:space="preserve">Syria</t>
  </si>
  <si>
    <t xml:space="preserve">Middle East</t>
  </si>
  <si>
    <t xml:space="preserve">YE</t>
  </si>
  <si>
    <t xml:space="preserve">Yemen</t>
  </si>
  <si>
    <t xml:space="preserve">CM</t>
  </si>
  <si>
    <t xml:space="preserve">Cameroon</t>
  </si>
  <si>
    <t xml:space="preserve">PK</t>
  </si>
  <si>
    <t xml:space="preserve">Pakistan</t>
  </si>
  <si>
    <t xml:space="preserve">LB</t>
  </si>
  <si>
    <t xml:space="preserve">Lebanon</t>
  </si>
  <si>
    <t xml:space="preserve">UA</t>
  </si>
  <si>
    <t xml:space="preserve">Ukraine</t>
  </si>
  <si>
    <t xml:space="preserve">Europe</t>
  </si>
  <si>
    <t xml:space="preserve">HT</t>
  </si>
  <si>
    <t xml:space="preserve">Haiti</t>
  </si>
  <si>
    <t xml:space="preserve">PS</t>
  </si>
  <si>
    <t xml:space="preserve">West Bank and Gaza</t>
  </si>
  <si>
    <t xml:space="preserve">CA</t>
  </si>
  <si>
    <t xml:space="preserve">Canada</t>
  </si>
  <si>
    <t xml:space="preserve">Developed</t>
  </si>
  <si>
    <t xml:space="preserve">US</t>
  </si>
  <si>
    <t xml:space="preserve">United States</t>
  </si>
  <si>
    <t xml:space="preserve">JP</t>
  </si>
  <si>
    <t xml:space="preserve">Japan</t>
  </si>
  <si>
    <t xml:space="preserve">GB</t>
  </si>
  <si>
    <t xml:space="preserve">United Kingdom</t>
  </si>
  <si>
    <t xml:space="preserve">CL</t>
  </si>
  <si>
    <t xml:space="preserve">Chile</t>
  </si>
  <si>
    <t xml:space="preserve">KR</t>
  </si>
  <si>
    <t xml:space="preserve">South Korea</t>
  </si>
  <si>
    <t xml:space="preserve">UY</t>
  </si>
  <si>
    <t xml:space="preserve">Uruguay</t>
  </si>
  <si>
    <t xml:space="preserve">DE</t>
  </si>
  <si>
    <t xml:space="preserve">Germany</t>
  </si>
  <si>
    <t xml:space="preserve">SG</t>
  </si>
  <si>
    <t xml:space="preserve">Singapore</t>
  </si>
  <si>
    <t xml:space="preserve">GY</t>
  </si>
  <si>
    <t xml:space="preserve">Guyana</t>
  </si>
  <si>
    <t xml:space="preserve">NZ</t>
  </si>
  <si>
    <t xml:space="preserve">New Zealand</t>
  </si>
  <si>
    <t xml:space="preserve">Oceania &amp; Pacific</t>
  </si>
  <si>
    <t xml:space="preserve">AU</t>
  </si>
  <si>
    <t xml:space="preserve">Australia</t>
  </si>
  <si>
    <t xml:space="preserve">IL</t>
  </si>
  <si>
    <t xml:space="preserve">Israel</t>
  </si>
  <si>
    <t xml:space="preserve">AE</t>
  </si>
  <si>
    <t xml:space="preserve">United Arab Emirates</t>
  </si>
  <si>
    <t xml:space="preserve">PL</t>
  </si>
  <si>
    <t xml:space="preserve">Poland</t>
  </si>
  <si>
    <t xml:space="preserve">NL</t>
  </si>
  <si>
    <t xml:space="preserve">Netherlands</t>
  </si>
  <si>
    <t xml:space="preserve">FR</t>
  </si>
  <si>
    <t xml:space="preserve">France</t>
  </si>
  <si>
    <t xml:space="preserve">SA</t>
  </si>
  <si>
    <t xml:space="preserve">Saudi Arabia</t>
  </si>
  <si>
    <t xml:space="preserve">IE</t>
  </si>
  <si>
    <t xml:space="preserve">Ireland</t>
  </si>
  <si>
    <t xml:space="preserve">AT</t>
  </si>
  <si>
    <t xml:space="preserve">Austria</t>
  </si>
  <si>
    <t xml:space="preserve">IT</t>
  </si>
  <si>
    <t xml:space="preserve">Italy</t>
  </si>
  <si>
    <t xml:space="preserve">NO</t>
  </si>
  <si>
    <t xml:space="preserve">Norway</t>
  </si>
  <si>
    <t xml:space="preserve">BE</t>
  </si>
  <si>
    <t xml:space="preserve">Belgium</t>
  </si>
  <si>
    <t xml:space="preserve">DK</t>
  </si>
  <si>
    <t xml:space="preserve">Denmark</t>
  </si>
  <si>
    <t xml:space="preserve">GR</t>
  </si>
  <si>
    <t xml:space="preserve">Greece</t>
  </si>
  <si>
    <t xml:space="preserve">HR</t>
  </si>
  <si>
    <t xml:space="preserve">Croatia</t>
  </si>
  <si>
    <t xml:space="preserve">LT</t>
  </si>
  <si>
    <t xml:space="preserve">Lithuania</t>
  </si>
  <si>
    <t xml:space="preserve">LU</t>
  </si>
  <si>
    <t xml:space="preserve">Luxembourg</t>
  </si>
  <si>
    <t xml:space="preserve">SE</t>
  </si>
  <si>
    <t xml:space="preserve">Sweden</t>
  </si>
  <si>
    <t xml:space="preserve">CY</t>
  </si>
  <si>
    <t xml:space="preserve">Cyprus</t>
  </si>
  <si>
    <t xml:space="preserve">CZ</t>
  </si>
  <si>
    <t xml:space="preserve">Czechia</t>
  </si>
  <si>
    <t xml:space="preserve">ES</t>
  </si>
  <si>
    <t xml:space="preserve">Spain</t>
  </si>
  <si>
    <t xml:space="preserve">FI</t>
  </si>
  <si>
    <t xml:space="preserve">Finland</t>
  </si>
  <si>
    <t xml:space="preserve">HU</t>
  </si>
  <si>
    <t xml:space="preserve">Hungary</t>
  </si>
  <si>
    <t xml:space="preserve">LV</t>
  </si>
  <si>
    <t xml:space="preserve">Latvia</t>
  </si>
  <si>
    <t xml:space="preserve">MT</t>
  </si>
  <si>
    <t xml:space="preserve">Malta</t>
  </si>
  <si>
    <t xml:space="preserve">RO</t>
  </si>
  <si>
    <t xml:space="preserve">Romania</t>
  </si>
  <si>
    <t xml:space="preserve">SI</t>
  </si>
  <si>
    <t xml:space="preserve">Slovenia</t>
  </si>
  <si>
    <t xml:space="preserve">SK</t>
  </si>
  <si>
    <t xml:space="preserve">Slovakia</t>
  </si>
  <si>
    <t xml:space="preserve">BG</t>
  </si>
  <si>
    <t xml:space="preserve">Bulgaria</t>
  </si>
  <si>
    <t xml:space="preserve">EE</t>
  </si>
  <si>
    <t xml:space="preserve">Estonia</t>
  </si>
  <si>
    <t xml:space="preserve">IS</t>
  </si>
  <si>
    <t xml:space="preserve">Iceland</t>
  </si>
  <si>
    <t xml:space="preserve">PT</t>
  </si>
  <si>
    <t xml:space="preserve">Portugal</t>
  </si>
  <si>
    <t xml:space="preserve">CH</t>
  </si>
  <si>
    <t xml:space="preserve">Switzerland</t>
  </si>
  <si>
    <t xml:space="preserve">CR</t>
  </si>
  <si>
    <t xml:space="preserve">Costa Rica</t>
  </si>
  <si>
    <t xml:space="preserve">KW</t>
  </si>
  <si>
    <t xml:space="preserve">Kuwait</t>
  </si>
  <si>
    <t xml:space="preserve">PA</t>
  </si>
  <si>
    <t xml:space="preserve">Panama</t>
  </si>
  <si>
    <t xml:space="preserve">SC</t>
  </si>
  <si>
    <t xml:space="preserve">Seychelles</t>
  </si>
  <si>
    <t xml:space="preserve">BH</t>
  </si>
  <si>
    <t xml:space="preserve">Bahrain</t>
  </si>
  <si>
    <t xml:space="preserve">BN</t>
  </si>
  <si>
    <t xml:space="preserve">Brunei</t>
  </si>
  <si>
    <t xml:space="preserve">BS</t>
  </si>
  <si>
    <t xml:space="preserve">The Bahamas</t>
  </si>
  <si>
    <t xml:space="preserve">OM</t>
  </si>
  <si>
    <t xml:space="preserve">Oman</t>
  </si>
  <si>
    <t xml:space="preserve">TT</t>
  </si>
  <si>
    <t xml:space="preserve">Trinidad and Tobago</t>
  </si>
  <si>
    <t xml:space="preserve">BB</t>
  </si>
  <si>
    <t xml:space="preserve">Barbados</t>
  </si>
  <si>
    <t xml:space="preserve">GL</t>
  </si>
  <si>
    <t xml:space="preserve">Greenland</t>
  </si>
  <si>
    <t xml:space="preserve">PR</t>
  </si>
  <si>
    <t xml:space="preserve">Puerto Rico</t>
  </si>
  <si>
    <t xml:space="preserve">PW</t>
  </si>
  <si>
    <t xml:space="preserve">Palau</t>
  </si>
  <si>
    <t xml:space="preserve">QA</t>
  </si>
  <si>
    <t xml:space="preserve">Qatar</t>
  </si>
  <si>
    <t xml:space="preserve">AD</t>
  </si>
  <si>
    <t xml:space="preserve">Andorra</t>
  </si>
  <si>
    <t xml:space="preserve">AG</t>
  </si>
  <si>
    <t xml:space="preserve">Antigua and Barbuda</t>
  </si>
  <si>
    <t xml:space="preserve">HK</t>
  </si>
  <si>
    <t xml:space="preserve">Hong Kong SAR</t>
  </si>
  <si>
    <t xml:space="preserve">LI</t>
  </si>
  <si>
    <t xml:space="preserve">Liechtenstein</t>
  </si>
  <si>
    <t xml:space="preserve">NR</t>
  </si>
  <si>
    <t xml:space="preserve">Nauru</t>
  </si>
  <si>
    <t xml:space="preserve">SM</t>
  </si>
  <si>
    <t xml:space="preserve">San Marino</t>
  </si>
  <si>
    <t xml:space="preserve">ID</t>
  </si>
  <si>
    <t xml:space="preserve">Indonesia</t>
  </si>
  <si>
    <t xml:space="preserve">Developing</t>
  </si>
  <si>
    <t xml:space="preserve">CN</t>
  </si>
  <si>
    <t xml:space="preserve">China</t>
  </si>
  <si>
    <t xml:space="preserve">IN</t>
  </si>
  <si>
    <t xml:space="preserve">India</t>
  </si>
  <si>
    <t xml:space="preserve">BR</t>
  </si>
  <si>
    <t xml:space="preserve">Brazil</t>
  </si>
  <si>
    <t xml:space="preserve">PH</t>
  </si>
  <si>
    <t xml:space="preserve">Philippines</t>
  </si>
  <si>
    <t xml:space="preserve">AR</t>
  </si>
  <si>
    <t xml:space="preserve">Argentina</t>
  </si>
  <si>
    <t xml:space="preserve">EG</t>
  </si>
  <si>
    <t xml:space="preserve">Egypt</t>
  </si>
  <si>
    <t xml:space="preserve">BO</t>
  </si>
  <si>
    <t xml:space="preserve">Bolivia</t>
  </si>
  <si>
    <t xml:space="preserve">EC</t>
  </si>
  <si>
    <t xml:space="preserve">Ecuador</t>
  </si>
  <si>
    <t xml:space="preserve">PY</t>
  </si>
  <si>
    <t xml:space="preserve">Paraguay</t>
  </si>
  <si>
    <t xml:space="preserve">VN</t>
  </si>
  <si>
    <t xml:space="preserve">Vietnam</t>
  </si>
  <si>
    <t xml:space="preserve">SR</t>
  </si>
  <si>
    <t xml:space="preserve">Suriname</t>
  </si>
  <si>
    <t xml:space="preserve">PE</t>
  </si>
  <si>
    <t xml:space="preserve">Peru</t>
  </si>
  <si>
    <t xml:space="preserve">TR</t>
  </si>
  <si>
    <t xml:space="preserve">Türkiye</t>
  </si>
  <si>
    <t xml:space="preserve">IR</t>
  </si>
  <si>
    <t xml:space="preserve">Iran</t>
  </si>
  <si>
    <t xml:space="preserve">VE</t>
  </si>
  <si>
    <t xml:space="preserve">Venezuela</t>
  </si>
  <si>
    <t xml:space="preserve">TH</t>
  </si>
  <si>
    <t xml:space="preserve">Thailand</t>
  </si>
  <si>
    <t xml:space="preserve">ZA</t>
  </si>
  <si>
    <t xml:space="preserve">South Africa</t>
  </si>
  <si>
    <t xml:space="preserve">KE</t>
  </si>
  <si>
    <t xml:space="preserve">Kenya</t>
  </si>
  <si>
    <t xml:space="preserve">TZ</t>
  </si>
  <si>
    <t xml:space="preserve">Tanzania</t>
  </si>
  <si>
    <t xml:space="preserve">IQ</t>
  </si>
  <si>
    <t xml:space="preserve">Iraq</t>
  </si>
  <si>
    <t xml:space="preserve">DJ</t>
  </si>
  <si>
    <t xml:space="preserve">Djibouti</t>
  </si>
  <si>
    <t xml:space="preserve">GH</t>
  </si>
  <si>
    <t xml:space="preserve">Ghana</t>
  </si>
  <si>
    <t xml:space="preserve">GQ</t>
  </si>
  <si>
    <t xml:space="preserve">Equatorial Guinea</t>
  </si>
  <si>
    <t xml:space="preserve">MA</t>
  </si>
  <si>
    <t xml:space="preserve">Morocco</t>
  </si>
  <si>
    <t xml:space="preserve">TN</t>
  </si>
  <si>
    <t xml:space="preserve">Tunisia</t>
  </si>
  <si>
    <t xml:space="preserve">BW</t>
  </si>
  <si>
    <t xml:space="preserve">Botswana</t>
  </si>
  <si>
    <t xml:space="preserve">LS</t>
  </si>
  <si>
    <t xml:space="preserve">Lesotho</t>
  </si>
  <si>
    <t xml:space="preserve">MU</t>
  </si>
  <si>
    <t xml:space="preserve">Mauritius</t>
  </si>
  <si>
    <t xml:space="preserve">SZ</t>
  </si>
  <si>
    <t xml:space="preserve">Eswatini</t>
  </si>
  <si>
    <t xml:space="preserve">AO</t>
  </si>
  <si>
    <t xml:space="preserve">Angola</t>
  </si>
  <si>
    <t xml:space="preserve">CG</t>
  </si>
  <si>
    <t xml:space="preserve">Republic of the Congo</t>
  </si>
  <si>
    <t xml:space="preserve">DZ</t>
  </si>
  <si>
    <t xml:space="preserve">Algeria</t>
  </si>
  <si>
    <t xml:space="preserve">GN</t>
  </si>
  <si>
    <t xml:space="preserve">Guinea</t>
  </si>
  <si>
    <t xml:space="preserve">ST</t>
  </si>
  <si>
    <t xml:space="preserve">São Tomé and Príncipe</t>
  </si>
  <si>
    <t xml:space="preserve">NA</t>
  </si>
  <si>
    <t xml:space="preserve">Namibia</t>
  </si>
  <si>
    <t xml:space="preserve">SN</t>
  </si>
  <si>
    <t xml:space="preserve">Senegal</t>
  </si>
  <si>
    <t xml:space="preserve">ZM</t>
  </si>
  <si>
    <t xml:space="preserve">Zambia</t>
  </si>
  <si>
    <t xml:space="preserve">ZW</t>
  </si>
  <si>
    <t xml:space="preserve">Zimbabwe</t>
  </si>
  <si>
    <t xml:space="preserve">BJ</t>
  </si>
  <si>
    <t xml:space="preserve">Benin</t>
  </si>
  <si>
    <t xml:space="preserve">CI</t>
  </si>
  <si>
    <t xml:space="preserve">Côte d'Ivoire</t>
  </si>
  <si>
    <t xml:space="preserve">GA</t>
  </si>
  <si>
    <t xml:space="preserve">Gabon</t>
  </si>
  <si>
    <t xml:space="preserve">LY</t>
  </si>
  <si>
    <t xml:space="preserve">Libya</t>
  </si>
  <si>
    <t xml:space="preserve">BY</t>
  </si>
  <si>
    <t xml:space="preserve">Belarus</t>
  </si>
  <si>
    <t xml:space="preserve">CV</t>
  </si>
  <si>
    <t xml:space="preserve">Cabo Verde</t>
  </si>
  <si>
    <t xml:space="preserve">LK</t>
  </si>
  <si>
    <t xml:space="preserve">Sri Lanka</t>
  </si>
  <si>
    <t xml:space="preserve">AL</t>
  </si>
  <si>
    <t xml:space="preserve">Albania</t>
  </si>
  <si>
    <t xml:space="preserve">AM</t>
  </si>
  <si>
    <t xml:space="preserve">Armenia</t>
  </si>
  <si>
    <t xml:space="preserve">DO</t>
  </si>
  <si>
    <t xml:space="preserve">Dominican Republic</t>
  </si>
  <si>
    <t xml:space="preserve">FJ</t>
  </si>
  <si>
    <t xml:space="preserve">Fiji</t>
  </si>
  <si>
    <t xml:space="preserve">GE</t>
  </si>
  <si>
    <t xml:space="preserve">Georgia</t>
  </si>
  <si>
    <t xml:space="preserve">JO</t>
  </si>
  <si>
    <t xml:space="preserve">Jordan</t>
  </si>
  <si>
    <t xml:space="preserve">KM</t>
  </si>
  <si>
    <t xml:space="preserve">Comoros</t>
  </si>
  <si>
    <t xml:space="preserve">KZ</t>
  </si>
  <si>
    <t xml:space="preserve">Kazakhstan</t>
  </si>
  <si>
    <t xml:space="preserve">MR</t>
  </si>
  <si>
    <t xml:space="preserve">Mauritania</t>
  </si>
  <si>
    <t xml:space="preserve">MV</t>
  </si>
  <si>
    <t xml:space="preserve">Maldives</t>
  </si>
  <si>
    <t xml:space="preserve">MY</t>
  </si>
  <si>
    <t xml:space="preserve">Malaysia</t>
  </si>
  <si>
    <t xml:space="preserve">TG</t>
  </si>
  <si>
    <t xml:space="preserve">Togo</t>
  </si>
  <si>
    <t xml:space="preserve">AZ</t>
  </si>
  <si>
    <t xml:space="preserve">Azerbaijan</t>
  </si>
  <si>
    <t xml:space="preserve">BD</t>
  </si>
  <si>
    <t xml:space="preserve">Bangladesh</t>
  </si>
  <si>
    <t xml:space="preserve">BT</t>
  </si>
  <si>
    <t xml:space="preserve">Bhutan</t>
  </si>
  <si>
    <t xml:space="preserve">GT</t>
  </si>
  <si>
    <t xml:space="preserve">Guatemala</t>
  </si>
  <si>
    <t xml:space="preserve">JM</t>
  </si>
  <si>
    <t xml:space="preserve">Jamaica</t>
  </si>
  <si>
    <t xml:space="preserve">KG</t>
  </si>
  <si>
    <t xml:space="preserve">Kyrgyzstan</t>
  </si>
  <si>
    <t xml:space="preserve">KH</t>
  </si>
  <si>
    <t xml:space="preserve">Cambodia</t>
  </si>
  <si>
    <t xml:space="preserve">LA</t>
  </si>
  <si>
    <t xml:space="preserve">Laos</t>
  </si>
  <si>
    <t xml:space="preserve">MD</t>
  </si>
  <si>
    <t xml:space="preserve">Moldova</t>
  </si>
  <si>
    <t xml:space="preserve">MN</t>
  </si>
  <si>
    <t xml:space="preserve">Mongolia</t>
  </si>
  <si>
    <t xml:space="preserve">NP</t>
  </si>
  <si>
    <t xml:space="preserve">Nepal</t>
  </si>
  <si>
    <t xml:space="preserve">TL</t>
  </si>
  <si>
    <t xml:space="preserve">Timor-Leste</t>
  </si>
  <si>
    <t xml:space="preserve">BA</t>
  </si>
  <si>
    <t xml:space="preserve">Bosnia and Herzegovina</t>
  </si>
  <si>
    <t xml:space="preserve">FM</t>
  </si>
  <si>
    <t xml:space="preserve">Micronesia</t>
  </si>
  <si>
    <t xml:space="preserve">HN</t>
  </si>
  <si>
    <t xml:space="preserve">Honduras</t>
  </si>
  <si>
    <t xml:space="preserve">ME</t>
  </si>
  <si>
    <t xml:space="preserve">Montenegro</t>
  </si>
  <si>
    <t xml:space="preserve">MK</t>
  </si>
  <si>
    <t xml:space="preserve">North Macedonia</t>
  </si>
  <si>
    <t xml:space="preserve">RS</t>
  </si>
  <si>
    <t xml:space="preserve">Serbia</t>
  </si>
  <si>
    <t xml:space="preserve">XK</t>
  </si>
  <si>
    <t xml:space="preserve">Kosovo</t>
  </si>
  <si>
    <t xml:space="preserve">BZ</t>
  </si>
  <si>
    <t xml:space="preserve">Belize</t>
  </si>
  <si>
    <t xml:space="preserve">CU</t>
  </si>
  <si>
    <t xml:space="preserve">Cuba</t>
  </si>
  <si>
    <t xml:space="preserve">DM</t>
  </si>
  <si>
    <t xml:space="preserve">Dominica</t>
  </si>
  <si>
    <t xml:space="preserve">KI</t>
  </si>
  <si>
    <t xml:space="preserve">Kiribati</t>
  </si>
  <si>
    <t xml:space="preserve">LC</t>
  </si>
  <si>
    <t xml:space="preserve">Saint Lucia</t>
  </si>
  <si>
    <t xml:space="preserve">MH</t>
  </si>
  <si>
    <t xml:space="preserve">Marshall Islands</t>
  </si>
  <si>
    <t xml:space="preserve">NI</t>
  </si>
  <si>
    <t xml:space="preserve">Nicaragua</t>
  </si>
  <si>
    <t xml:space="preserve">PG</t>
  </si>
  <si>
    <t xml:space="preserve">Papua New Guinea</t>
  </si>
  <si>
    <t xml:space="preserve">SB</t>
  </si>
  <si>
    <t xml:space="preserve">Solomon Islands</t>
  </si>
  <si>
    <t xml:space="preserve">SV</t>
  </si>
  <si>
    <t xml:space="preserve">El Salvador</t>
  </si>
  <si>
    <t xml:space="preserve">TJ</t>
  </si>
  <si>
    <t xml:space="preserve">Tajikistan</t>
  </si>
  <si>
    <t xml:space="preserve">TM</t>
  </si>
  <si>
    <t xml:space="preserve">Turkmenistan</t>
  </si>
  <si>
    <t xml:space="preserve">TO</t>
  </si>
  <si>
    <t xml:space="preserve">Tonga</t>
  </si>
  <si>
    <t xml:space="preserve">TV</t>
  </si>
  <si>
    <t xml:space="preserve">Tuvalu</t>
  </si>
  <si>
    <t xml:space="preserve">UZ</t>
  </si>
  <si>
    <t xml:space="preserve">Uzbekistan</t>
  </si>
  <si>
    <t xml:space="preserve">VC</t>
  </si>
  <si>
    <t xml:space="preserve">Saint Vincent and the Grenadines</t>
  </si>
  <si>
    <t xml:space="preserve">VU</t>
  </si>
  <si>
    <t xml:space="preserve">Vanuatu</t>
  </si>
  <si>
    <t xml:space="preserve">WS</t>
  </si>
  <si>
    <t xml:space="preserve">Samoa</t>
  </si>
  <si>
    <t xml:space="preserve">RW</t>
  </si>
  <si>
    <t xml:space="preserve">Rwanda</t>
  </si>
  <si>
    <t xml:space="preserve">Undeveloped / poor</t>
  </si>
  <si>
    <t xml:space="preserve">UG</t>
  </si>
  <si>
    <t xml:space="preserve">Uganda</t>
  </si>
  <si>
    <t xml:space="preserve">GW</t>
  </si>
  <si>
    <t xml:space="preserve">Guinea-Bissau</t>
  </si>
  <si>
    <t xml:space="preserve">MG</t>
  </si>
  <si>
    <t xml:space="preserve">Madagascar</t>
  </si>
  <si>
    <t xml:space="preserve">MW</t>
  </si>
  <si>
    <t xml:space="preserve">Malawi</t>
  </si>
  <si>
    <t xml:space="preserve">MZ</t>
  </si>
  <si>
    <t xml:space="preserve">Mozambique</t>
  </si>
  <si>
    <t xml:space="preserve">NE</t>
  </si>
  <si>
    <t xml:space="preserve">Niger</t>
  </si>
  <si>
    <t xml:space="preserve">SL</t>
  </si>
  <si>
    <t xml:space="preserve">Sierra Leone</t>
  </si>
  <si>
    <t xml:space="preserve">TD</t>
  </si>
  <si>
    <t xml:space="preserve">Chad</t>
  </si>
  <si>
    <t xml:space="preserve">GM</t>
  </si>
  <si>
    <t xml:space="preserve">The Gambia</t>
  </si>
  <si>
    <t xml:space="preserve">BI</t>
  </si>
  <si>
    <t xml:space="preserve">Burundi</t>
  </si>
  <si>
    <t xml:space="preserve">CF</t>
  </si>
  <si>
    <t xml:space="preserve">Central African Republic</t>
  </si>
  <si>
    <t xml:space="preserve">SS</t>
  </si>
  <si>
    <t xml:space="preserve">South Sudan</t>
  </si>
  <si>
    <t xml:space="preserve">ER</t>
  </si>
  <si>
    <t xml:space="preserve">Eritrea</t>
  </si>
  <si>
    <t xml:space="preserve">LR</t>
  </si>
  <si>
    <t xml:space="preserve">Liberia</t>
  </si>
  <si>
    <t xml:space="preserve">INT</t>
  </si>
  <si>
    <t xml:space="preserve">International</t>
  </si>
  <si>
    <t xml:space="preserve">Body — not a country</t>
  </si>
  <si>
    <t xml:space="preserve">EU</t>
  </si>
  <si>
    <t xml:space="preserve">European Union</t>
  </si>
  <si>
    <t xml:space="preserve">TW</t>
  </si>
  <si>
    <t xml:space="preserve">Taiwan</t>
  </si>
  <si>
    <t xml:space="preserve">Unclassified — no World Bank income group</t>
  </si>
  <si>
    <t xml:space="preserve">CK</t>
  </si>
  <si>
    <t xml:space="preserve">Cook Islands</t>
  </si>
  <si>
    <t xml:space="preserve">NU</t>
  </si>
  <si>
    <t xml:space="preserve">Niue</t>
  </si>
  <si>
    <t xml:space="preserve">TK</t>
  </si>
  <si>
    <t xml:space="preserve">Tokelau</t>
  </si>
  <si>
    <t xml:space="preserve">Corpus coverage by country — with population and category</t>
  </si>
  <si>
    <t xml:space="preserve">Generated</t>
  </si>
  <si>
    <t xml:space="preserve">2026-09-15, after the EU statute round and the ECOICOP target audit</t>
  </si>
  <si>
    <t xml:space="preserve">Corpus source</t>
  </si>
  <si>
    <t xml:space="preserve">The ASSEMBLED corpus — src/data/research/*.json plus the two hand-written seed files (src/data/reports.ts, src/data/dependencies.ts), read through src/data/index.ts, exactly as npm run validate reads it.</t>
  </si>
  <si>
    <t xml:space="preserve">Totals</t>
  </si>
  <si>
    <t xml:space="preserve">3,685 nodes and 3,441 unique dependencies. These tie exactly to HANDOFF.md §2, which is the project's one true count.</t>
  </si>
  <si>
    <t xml:space="preserve">WHAT EACH COLUMN IS</t>
  </si>
  <si>
    <t xml:space="preserve">Reports whose country field is this code.</t>
  </si>
  <si>
    <t xml:space="preserve">Internal + outbound + inbound, i.e. every dependency with at least one end in this country. Summing this column across rows double-counts every cross-border edge (4,603 vs the corpus's 3,441) — that is arithmetic, not an error.</t>
  </si>
  <si>
    <t xml:space="preserve">Nodes with no dependency in either direction. 970 corpus-wide. This is the "orphan" figure the handoff tracks.</t>
  </si>
  <si>
    <t xml:space="preserve">Nodes ÷ population × 1,000,000. You asked for nodes per person; that is ~0.0000019 for Canada and unreadable in a column, so it is scaled per million. Divide by 1,000,000 if you want the raw ratio.</t>
  </si>
  <si>
    <t xml:space="preserve">POPULATION</t>
  </si>
  <si>
    <t xml:space="preserve">Source</t>
  </si>
  <si>
    <t xml:space="preserve">World Bank, SP.POP.TOTL, most recent year per country (2025 for nearly all). api.worldbank.org/v2/country/all/indicator/SP.POP.TOTL</t>
  </si>
  <si>
    <t xml:space="preserve">EU row</t>
  </si>
  <si>
    <t xml:space="preserve">World Bank EUU aggregate, 2025. It is a bloc, not a country, and is categorised as a body.</t>
  </si>
  <si>
    <t xml:space="preserve">BLANK population — 4 rows</t>
  </si>
  <si>
    <t xml:space="preserve">Taiwan, Cook Islands, Niue and Tokelau are not in the World Bank country series. Taiwan is the one that matters (109 nodes); DGBAS publishes the figure but serves it by JavaScript this container cannot read. Left blank rather than guessed — drop a number in and the per-million column computes itself.</t>
  </si>
  <si>
    <t xml:space="preserve">HOW THE FOUR CATEGORIES WERE ASSIGNED</t>
  </si>
  <si>
    <t xml:space="preserve">Order of precedence</t>
  </si>
  <si>
    <t xml:space="preserve">"At war" is tested first and overrides income. Everything else falls out of the World Bank income group.</t>
  </si>
  <si>
    <t xml:space="preserve">Top 20 countries by conflict deaths in 2024, from the "Deaths by country" table of Wikipedia's List of ongoing armed conflicts (retrieved 2026-09-15). The actual death count is in column N, so every flag shows its own reason.</t>
  </si>
  <si>
    <t xml:space="preserve">World Bank income group = High income.</t>
  </si>
  <si>
    <t xml:space="preserve">World Bank income group = Upper middle income or Lower middle income.</t>
  </si>
  <si>
    <t xml:space="preserve">World Bank income group = Low income.</t>
  </si>
  <si>
    <t xml:space="preserve">INT (international bodies) and EU (the bloc). Neither has an income group and neither should be read as a country.</t>
  </si>
  <si>
    <t xml:space="preserve">THREE THINGS TO CHECK BEFORE YOU TRUST THE "AT WAR" COLUMN</t>
  </si>
  <si>
    <t xml:space="preserve">1. It is a top-20 list, so it can only miss</t>
  </si>
  <si>
    <t xml:space="preserve">The 20th country in 2024 had 1,708 deaths, so any country between roughly 1,000 and 1,700 is invisible to it. The errors this makes are false NEGATIVES, not false positives.</t>
  </si>
  <si>
    <t xml:space="preserve">2. Mexico and Colombia are judgement calls</t>
  </si>
  <si>
    <t xml:space="preserve">Both are in the source table on cartel and criminal violence (8,208 and 1,708 deaths) rather than armed conflict between organised parties. If you do not count that as "at war", change those two cells; nothing else depends on them.</t>
  </si>
  <si>
    <t xml:space="preserve">3. The measure is 2024</t>
  </si>
  <si>
    <t xml:space="preserve">The source's per-country breakdown stops at 2024. Its theatre-level tables carry 2025 and 2026 figures, but they list every country in a region — that route would have flagged Qatar and the UAE as at war, so it was not used.</t>
  </si>
  <si>
    <t xml:space="preserve">WHAT IS NOT HERE</t>
  </si>
  <si>
    <t xml:space="preserve">Income groups are a proxy</t>
  </si>
  <si>
    <t xml:space="preserve">"Developed / developing / undeveloped" has no single official definition. World Bank income group is the most widely used sourced proxy and is reproducible from one API call, which is why it was chosen over a judgement call. High income includes Russia, so Russia reads At war (by precedence) — its income group is still shown in column M.</t>
  </si>
  <si>
    <t xml:space="preserve">CATEGORY COLOURS</t>
  </si>
  <si>
    <t xml:space="preserve">fill F8CBAD</t>
  </si>
  <si>
    <t xml:space="preserve">fill C6E0B4</t>
  </si>
  <si>
    <t xml:space="preserve">fill FFE699</t>
  </si>
  <si>
    <t xml:space="preserve">fill D9D2E9</t>
  </si>
  <si>
    <t xml:space="preserve">fill D9D9D9</t>
  </si>
  <si>
    <t xml:space="preserve">Countries / bodies</t>
  </si>
  <si>
    <t xml:space="preserve">TOTAL</t>
  </si>
  <si>
    <t xml:space="preserve">Nodes and unassigned nodes above sum to the corpus totals. "Edges touching" does NOT — a cross-border edge touches two countries and is counted in both rows. The corpus has 3,441 unique dependencies; these cells sum to 4,603.</t>
  </si>
  <si>
    <t xml:space="preserve">CARRIED OVER UNCHANGED from corpus-coverage-by-country-2026-09-10.xlsx. Its class-A premise was tested on 2026-09-15 and largely dissolved — see notes/node-url-audit-2026-09-15.md. Kept for the reasoning, not as a live ranking.</t>
  </si>
  <si>
    <t xml:space="preserve">Class</t>
  </si>
  <si>
    <t xml:space="preserve">Rank</t>
  </si>
  <si>
    <t xml:space="preserve">Country</t>
  </si>
  <si>
    <t xml:space="preserve">Edges</t>
  </si>
  <si>
    <t xml:space="preserve">Zero-edge nodes</t>
  </si>
  <si>
    <t xml:space="preserve">Why this one</t>
  </si>
  <si>
    <t xml:space="preserve">A — unwired depth</t>
  </si>
  <si>
    <t xml:space="preserve">60 nodes, 10 edges. Second largest stock of unwired nodes anywhere. Standing issue: the IPI compiler is unverified.</t>
  </si>
  <si>
    <t xml:space="preserve">109 nodes, 75 edges. Large family, half of it unwired; DGBAS publishes in depth.</t>
  </si>
  <si>
    <t xml:space="preserve">98 nodes, 61 edges. Four dead hosts confirmed DOWN (round 36) — check before scoping.</t>
  </si>
  <si>
    <t xml:space="preserve">38 nodes, 13 edges. A small, very well-documented statistical system — should wire fast.</t>
  </si>
  <si>
    <t xml:space="preserve">29 nodes, 2 edges. The single most unwired country in the corpus. Never had a research round.</t>
  </si>
  <si>
    <t xml:space="preserve">52 nodes, 25 edges.</t>
  </si>
  <si>
    <t xml:space="preserve">45 nodes, 23 edges. Touched by the candidates-tier round (2026-08-28) and not since.</t>
  </si>
  <si>
    <t xml:space="preserve">53 nodes, 28 edges. Part of the August LatAm import; INE Chile is well documented.</t>
  </si>
  <si>
    <t xml:space="preserve">46 nodes, 20 edges.</t>
  </si>
  <si>
    <t xml:space="preserve">41 nodes, 23 edges.</t>
  </si>
  <si>
    <t xml:space="preserve">37 nodes, 14 edges.</t>
  </si>
  <si>
    <t xml:space="preserve">46 nodes, 29 edges.</t>
  </si>
  <si>
    <t xml:space="preserve">26 nodes, 6 edges.</t>
  </si>
  <si>
    <t xml:space="preserve">25 nodes, 13 edges. 72% zero-edge.</t>
  </si>
  <si>
    <t xml:space="preserve">39 nodes, 25 edges.</t>
  </si>
  <si>
    <t xml:space="preserve">20 nodes, 13 edges.</t>
  </si>
  <si>
    <t xml:space="preserve">B — unexplored</t>
  </si>
  <si>
    <t xml:space="preserve">Uzbekistan — 1 node.</t>
  </si>
  <si>
    <t xml:space="preserve">Qatar — 2 nodes.</t>
  </si>
  <si>
    <t xml:space="preserve">Serbia — 2 nodes.</t>
  </si>
  <si>
    <t xml:space="preserve">Ukraine — a G20-adjacent economy on 2 nodes.</t>
  </si>
  <si>
    <t xml:space="preserve">Azerbaijan — 3 nodes.</t>
  </si>
  <si>
    <t xml:space="preserve">Jamaica — 3 nodes.</t>
  </si>
  <si>
    <t xml:space="preserve">The Bahamas — 3 nodes (option-E pair open).</t>
  </si>
  <si>
    <t xml:space="preserve">Lebanon — 3 nodes.</t>
  </si>
  <si>
    <t xml:space="preserve">Oman — 3 nodes.</t>
  </si>
  <si>
    <t xml:space="preserve">Bahrain — 3 nodes.</t>
  </si>
  <si>
    <t xml:space="preserve">Mongolia — 3 nodes.</t>
  </si>
  <si>
    <t xml:space="preserve">Bangladesh — 170M people, 3 nodes.</t>
  </si>
  <si>
    <t xml:space="preserve">Nepal — 3 nodes.</t>
  </si>
  <si>
    <t xml:space="preserve">Guatemala — 3 nodes (an option-E pair is already open here).</t>
  </si>
  <si>
    <t xml:space="preserve">Cambodia — 3 nodes.</t>
  </si>
  <si>
    <t xml:space="preserve">Brunei — 3 nodes.</t>
  </si>
  <si>
    <t xml:space="preserve">Switzerland — 4 nodes.</t>
  </si>
  <si>
    <t xml:space="preserve">Malaysia — 4 nodes.</t>
  </si>
  <si>
    <t xml:space="preserve">Pakistan — 240M people, 4 nodes.</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</si>
</sst>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3"/>
      <color rgb="FF000000"/>
      <name val="Arial"/>
      <family val="0"/>
      <charset val="1"/>
    </font>
    <font>
      <sz val="10"/>
      <color rgb="FF000000"/>
      <name val="Arial"/>
      <family val="0"/>
      <charset val="1"/>
    </font>
    <font>
      <b val="true"/>
      <sz val="11"/>
      <color rgb="FF000000"/>
      <name val="Arial"/>
      <family val="0"/>
      <charset val="1"/>
    </font>
    <font>
      <sz val="9"/>
      <name val="Arial"/>
      <family val="0"/>
      <charset val="1"/>
    </font>
    <font>
      <i val="true"/>
      <sz val="9"/>
      <name val="Arial"/>
      <family val="0"/>
      <charset val="1"/>
    </font>
    <font>
      <i val="true"/>
      <sz val="9"/>
      <color rgb="FFC00000"/>
      <name val="Arial"/>
      <family val="0"/>
      <charset val="1"/>
    </font>
  </fonts>
  <fills count="8">
    <fill>
      <patternFill patternType="none"/>
    </fill>
    <fill>
      <patternFill patternType="gray125"/>
    </fill>
    <fill>
      <patternFill patternType="solid">
        <fgColor rgb="FF404040"/>
        <bgColor rgb="FF333300"/>
      </patternFill>
    </fill>
    <fill>
      <patternFill patternType="solid">
        <fgColor rgb="FFF8CBAD"/>
        <bgColor rgb="FFFFE699"/>
      </patternFill>
    </fill>
    <fill>
      <patternFill patternType="solid">
        <fgColor rgb="FFC6E0B4"/>
        <bgColor rgb="FFD9D9D9"/>
      </patternFill>
    </fill>
    <fill>
      <patternFill patternType="solid">
        <fgColor rgb="FFFFE699"/>
        <bgColor rgb="FFF8CBAD"/>
      </patternFill>
    </fill>
    <fill>
      <patternFill patternType="solid">
        <fgColor rgb="FFD9D2E9"/>
        <bgColor rgb="FFD9D9D9"/>
      </patternFill>
    </fill>
    <fill>
      <patternFill patternType="solid">
        <fgColor rgb="FFD9D9D9"/>
        <bgColor rgb="FFD9D2E9"/>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general" vertical="bottom" textRotation="0" wrapText="false" indent="0" shrinkToFit="false"/>
      <protection locked="true" hidden="false"/>
    </xf>
    <xf numFmtId="167" fontId="5" fillId="3"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5" fontId="5" fillId="5" borderId="0" xfId="0" applyFont="true" applyBorder="false" applyAlignment="true" applyProtection="false">
      <alignment horizontal="general" vertical="bottom" textRotation="0" wrapText="false" indent="0" shrinkToFit="false"/>
      <protection locked="true" hidden="false"/>
    </xf>
    <xf numFmtId="166" fontId="5" fillId="5" borderId="0" xfId="0" applyFont="true" applyBorder="false" applyAlignment="true" applyProtection="false">
      <alignment horizontal="general" vertical="bottom" textRotation="0" wrapText="false" indent="0" shrinkToFit="false"/>
      <protection locked="true" hidden="false"/>
    </xf>
    <xf numFmtId="167" fontId="5" fillId="5"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general" vertical="bottom" textRotation="0" wrapText="false" indent="0" shrinkToFit="false"/>
      <protection locked="true" hidden="false"/>
    </xf>
    <xf numFmtId="167" fontId="5" fillId="6"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7" fontId="5" fillId="7"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404040"/>
          <bgColor rgb="FF000000"/>
        </patternFill>
      </fill>
    </dxf>
    <dxf>
      <fill>
        <patternFill patternType="solid">
          <fgColor rgb="FFC6E0B4"/>
          <bgColor rgb="FF000000"/>
        </patternFill>
      </fill>
    </dxf>
    <dxf>
      <fill>
        <patternFill patternType="solid">
          <fgColor rgb="FFD9D2E9"/>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D9D9"/>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16"/>
    <col collapsed="false" customWidth="true" hidden="false" outlineLevel="0" max="4" min="4" style="1" width="21"/>
    <col collapsed="false" customWidth="true" hidden="false" outlineLevel="0" max="5" min="5" style="1" width="14"/>
    <col collapsed="false" customWidth="true" hidden="false" outlineLevel="0" max="6" min="6" style="1" width="10"/>
    <col collapsed="false" customWidth="true" hidden="false" outlineLevel="0" max="7" min="7" style="1" width="9"/>
    <col collapsed="false" customWidth="true" hidden="false" outlineLevel="0" max="8" min="8" style="1" width="12"/>
    <col collapsed="false" customWidth="true" hidden="false" outlineLevel="0" max="9" min="9" style="1" width="16"/>
    <col collapsed="false" customWidth="true" hidden="false" outlineLevel="0" max="10" min="10" style="1" width="12"/>
    <col collapsed="false" customWidth="true" hidden="false" outlineLevel="0" max="11" min="11" style="1" width="15"/>
    <col collapsed="false" customWidth="true" hidden="false" outlineLevel="0" max="12" min="12" style="1" width="12"/>
    <col collapsed="false" customWidth="true" hidden="false" outlineLevel="0" max="13" min="13" style="1" width="22"/>
    <col collapsed="false" customWidth="true" hidden="false" outlineLevel="0" max="14" min="14" style="1" width="14"/>
    <col collapsed="false" customWidth="true" hidden="false" outlineLevel="0" max="15" min="15" style="1" width="13"/>
    <col collapsed="false" customWidth="true" hidden="false" outlineLevel="0" max="16" min="16" style="1" width="10"/>
    <col collapsed="false" customWidth="true" hidden="false" outlineLevel="0" max="17" min="17" style="1" width="9"/>
  </cols>
  <sheetData>
    <row r="1" customFormat="false" ht="42"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Format="false" ht="15" hidden="false" customHeight="true" outlineLevel="0" collapsed="false">
      <c r="A2" s="3" t="s">
        <v>17</v>
      </c>
      <c r="B2" s="3" t="s">
        <v>18</v>
      </c>
      <c r="C2" s="3" t="s">
        <v>19</v>
      </c>
      <c r="D2" s="4" t="s">
        <v>20</v>
      </c>
      <c r="E2" s="5" t="n">
        <v>143513328</v>
      </c>
      <c r="F2" s="3" t="s">
        <v>21</v>
      </c>
      <c r="G2" s="3" t="n">
        <v>170</v>
      </c>
      <c r="H2" s="3" t="n">
        <f aca="false">O2+P2+Q2</f>
        <v>152</v>
      </c>
      <c r="I2" s="3" t="n">
        <v>38</v>
      </c>
      <c r="J2" s="6" t="n">
        <f aca="false">IF(G2=0,"",I2/G2)</f>
        <v>0.223529411764706</v>
      </c>
      <c r="K2" s="7" t="n">
        <f aca="false">IF(ISNUMBER(E2),IF(E2&gt;0,G2/E2*1000000,""),"")</f>
        <v>1.18455897002124</v>
      </c>
      <c r="L2" s="7" t="n">
        <f aca="false">IF(G2=0,"",H2/G2)</f>
        <v>0.894117647058824</v>
      </c>
      <c r="M2" s="3" t="s">
        <v>22</v>
      </c>
      <c r="N2" s="5" t="n">
        <v>4737</v>
      </c>
      <c r="O2" s="3" t="n">
        <v>129</v>
      </c>
      <c r="P2" s="3" t="n">
        <v>23</v>
      </c>
      <c r="Q2" s="3" t="n">
        <v>0</v>
      </c>
    </row>
    <row r="3" customFormat="false" ht="15" hidden="false" customHeight="true" outlineLevel="0" collapsed="false">
      <c r="A3" s="3" t="s">
        <v>23</v>
      </c>
      <c r="B3" s="3" t="s">
        <v>24</v>
      </c>
      <c r="C3" s="3" t="s">
        <v>25</v>
      </c>
      <c r="D3" s="4" t="s">
        <v>20</v>
      </c>
      <c r="E3" s="5" t="n">
        <v>131946900</v>
      </c>
      <c r="F3" s="3" t="s">
        <v>21</v>
      </c>
      <c r="G3" s="3" t="n">
        <v>103</v>
      </c>
      <c r="H3" s="3" t="n">
        <f aca="false">O3+P3+Q3</f>
        <v>126</v>
      </c>
      <c r="I3" s="3" t="n">
        <v>16</v>
      </c>
      <c r="J3" s="6" t="n">
        <f aca="false">IF(G3=0,"",I3/G3)</f>
        <v>0.155339805825243</v>
      </c>
      <c r="K3" s="7" t="n">
        <f aca="false">IF(ISNUMBER(E3),IF(E3&gt;0,G3/E3*1000000,""),"")</f>
        <v>0.780617051253194</v>
      </c>
      <c r="L3" s="7" t="n">
        <f aca="false">IF(G3=0,"",H3/G3)</f>
        <v>1.22330097087379</v>
      </c>
      <c r="M3" s="3" t="s">
        <v>26</v>
      </c>
      <c r="N3" s="5" t="n">
        <v>8208</v>
      </c>
      <c r="O3" s="3" t="n">
        <v>97</v>
      </c>
      <c r="P3" s="3" t="n">
        <v>29</v>
      </c>
      <c r="Q3" s="3" t="n">
        <v>0</v>
      </c>
    </row>
    <row r="4" customFormat="false" ht="15" hidden="false" customHeight="true" outlineLevel="0" collapsed="false">
      <c r="A4" s="3" t="s">
        <v>27</v>
      </c>
      <c r="B4" s="3" t="s">
        <v>28</v>
      </c>
      <c r="C4" s="3" t="s">
        <v>29</v>
      </c>
      <c r="D4" s="4" t="s">
        <v>20</v>
      </c>
      <c r="E4" s="5" t="n">
        <v>135472051</v>
      </c>
      <c r="F4" s="3" t="s">
        <v>21</v>
      </c>
      <c r="G4" s="3" t="n">
        <v>41</v>
      </c>
      <c r="H4" s="3" t="n">
        <f aca="false">O4+P4+Q4</f>
        <v>23</v>
      </c>
      <c r="I4" s="3" t="n">
        <v>21</v>
      </c>
      <c r="J4" s="6" t="n">
        <f aca="false">IF(G4=0,"",I4/G4)</f>
        <v>0.51219512195122</v>
      </c>
      <c r="K4" s="7" t="n">
        <f aca="false">IF(ISNUMBER(E4),IF(E4&gt;0,G4/E4*1000000,""),"")</f>
        <v>0.302645451200853</v>
      </c>
      <c r="L4" s="7" t="n">
        <f aca="false">IF(G4=0,"",H4/G4)</f>
        <v>0.560975609756098</v>
      </c>
      <c r="M4" s="3" t="s">
        <v>30</v>
      </c>
      <c r="N4" s="5" t="n">
        <v>10180</v>
      </c>
      <c r="O4" s="3" t="n">
        <v>16</v>
      </c>
      <c r="P4" s="3" t="n">
        <v>5</v>
      </c>
      <c r="Q4" s="3" t="n">
        <v>2</v>
      </c>
    </row>
    <row r="5" customFormat="false" ht="15" hidden="false" customHeight="true" outlineLevel="0" collapsed="false">
      <c r="A5" s="3" t="s">
        <v>31</v>
      </c>
      <c r="B5" s="3" t="s">
        <v>32</v>
      </c>
      <c r="C5" s="3" t="s">
        <v>33</v>
      </c>
      <c r="D5" s="4" t="s">
        <v>20</v>
      </c>
      <c r="E5" s="5" t="n">
        <v>53425635</v>
      </c>
      <c r="F5" s="3" t="s">
        <v>21</v>
      </c>
      <c r="G5" s="3" t="n">
        <v>37</v>
      </c>
      <c r="H5" s="3" t="n">
        <f aca="false">O5+P5+Q5</f>
        <v>26</v>
      </c>
      <c r="I5" s="3" t="n">
        <v>12</v>
      </c>
      <c r="J5" s="6" t="n">
        <f aca="false">IF(G5=0,"",I5/G5)</f>
        <v>0.324324324324324</v>
      </c>
      <c r="K5" s="7" t="n">
        <f aca="false">IF(ISNUMBER(E5),IF(E5&gt;0,G5/E5*1000000,""),"")</f>
        <v>0.692551431536565</v>
      </c>
      <c r="L5" s="7" t="n">
        <f aca="false">IF(G5=0,"",H5/G5)</f>
        <v>0.702702702702703</v>
      </c>
      <c r="M5" s="3" t="s">
        <v>26</v>
      </c>
      <c r="N5" s="5" t="n">
        <v>1708</v>
      </c>
      <c r="O5" s="3" t="n">
        <v>18</v>
      </c>
      <c r="P5" s="3" t="n">
        <v>8</v>
      </c>
      <c r="Q5" s="3" t="n">
        <v>0</v>
      </c>
    </row>
    <row r="6" customFormat="false" ht="15" hidden="false" customHeight="true" outlineLevel="0" collapsed="false">
      <c r="A6" s="3" t="s">
        <v>34</v>
      </c>
      <c r="B6" s="3" t="s">
        <v>35</v>
      </c>
      <c r="C6" s="3" t="s">
        <v>29</v>
      </c>
      <c r="D6" s="4" t="s">
        <v>20</v>
      </c>
      <c r="E6" s="5" t="n">
        <v>237527782</v>
      </c>
      <c r="F6" s="3" t="s">
        <v>21</v>
      </c>
      <c r="G6" s="3" t="n">
        <v>20</v>
      </c>
      <c r="H6" s="3" t="n">
        <f aca="false">O6+P6+Q6</f>
        <v>13</v>
      </c>
      <c r="I6" s="3" t="n">
        <v>7</v>
      </c>
      <c r="J6" s="6" t="n">
        <f aca="false">IF(G6=0,"",I6/G6)</f>
        <v>0.35</v>
      </c>
      <c r="K6" s="7" t="n">
        <f aca="false">IF(ISNUMBER(E6),IF(E6&gt;0,G6/E6*1000000,""),"")</f>
        <v>0.0842006767865159</v>
      </c>
      <c r="L6" s="7" t="n">
        <f aca="false">IF(G6=0,"",H6/G6)</f>
        <v>0.65</v>
      </c>
      <c r="M6" s="3" t="s">
        <v>36</v>
      </c>
      <c r="N6" s="5" t="n">
        <v>9155</v>
      </c>
      <c r="O6" s="3" t="n">
        <v>11</v>
      </c>
      <c r="P6" s="3" t="n">
        <v>2</v>
      </c>
      <c r="Q6" s="3" t="n">
        <v>0</v>
      </c>
    </row>
    <row r="7" customFormat="false" ht="15" hidden="false" customHeight="true" outlineLevel="0" collapsed="false">
      <c r="A7" s="3" t="s">
        <v>37</v>
      </c>
      <c r="B7" s="3" t="s">
        <v>38</v>
      </c>
      <c r="C7" s="3" t="s">
        <v>19</v>
      </c>
      <c r="D7" s="4" t="s">
        <v>20</v>
      </c>
      <c r="E7" s="5" t="n">
        <v>43844111</v>
      </c>
      <c r="F7" s="3" t="s">
        <v>21</v>
      </c>
      <c r="G7" s="3" t="n">
        <v>10</v>
      </c>
      <c r="H7" s="3" t="n">
        <f aca="false">O7+P7+Q7</f>
        <v>8</v>
      </c>
      <c r="I7" s="3" t="n">
        <v>1</v>
      </c>
      <c r="J7" s="6" t="n">
        <f aca="false">IF(G7=0,"",I7/G7)</f>
        <v>0.1</v>
      </c>
      <c r="K7" s="7" t="n">
        <f aca="false">IF(ISNUMBER(E7),IF(E7&gt;0,G7/E7*1000000,""),"")</f>
        <v>0.228080802003261</v>
      </c>
      <c r="L7" s="7" t="n">
        <f aca="false">IF(G7=0,"",H7/G7)</f>
        <v>0.8</v>
      </c>
      <c r="M7" s="3" t="s">
        <v>30</v>
      </c>
      <c r="N7" s="5" t="n">
        <v>3208</v>
      </c>
      <c r="O7" s="3" t="n">
        <v>4</v>
      </c>
      <c r="P7" s="3" t="n">
        <v>4</v>
      </c>
      <c r="Q7" s="3" t="n">
        <v>0</v>
      </c>
    </row>
    <row r="8" customFormat="false" ht="15" hidden="false" customHeight="true" outlineLevel="0" collapsed="false">
      <c r="A8" s="3" t="s">
        <v>39</v>
      </c>
      <c r="B8" s="3" t="s">
        <v>40</v>
      </c>
      <c r="C8" s="3" t="s">
        <v>19</v>
      </c>
      <c r="D8" s="4" t="s">
        <v>20</v>
      </c>
      <c r="E8" s="5" t="n">
        <v>54850648</v>
      </c>
      <c r="F8" s="3" t="s">
        <v>21</v>
      </c>
      <c r="G8" s="3" t="n">
        <v>9</v>
      </c>
      <c r="H8" s="3" t="n">
        <f aca="false">O8+P8+Q8</f>
        <v>6</v>
      </c>
      <c r="I8" s="3" t="n">
        <v>4</v>
      </c>
      <c r="J8" s="6" t="n">
        <f aca="false">IF(G8=0,"",I8/G8)</f>
        <v>0.444444444444444</v>
      </c>
      <c r="K8" s="7" t="n">
        <f aca="false">IF(ISNUMBER(E8),IF(E8&gt;0,G8/E8*1000000,""),"")</f>
        <v>0.164081926616437</v>
      </c>
      <c r="L8" s="7" t="n">
        <f aca="false">IF(G8=0,"",H8/G8)</f>
        <v>0.666666666666667</v>
      </c>
      <c r="M8" s="3" t="s">
        <v>36</v>
      </c>
      <c r="N8" s="5" t="n">
        <v>19771</v>
      </c>
      <c r="O8" s="3" t="n">
        <v>1</v>
      </c>
      <c r="P8" s="3" t="n">
        <v>5</v>
      </c>
      <c r="Q8" s="3" t="n">
        <v>0</v>
      </c>
    </row>
    <row r="9" customFormat="false" ht="15" hidden="false" customHeight="true" outlineLevel="0" collapsed="false">
      <c r="A9" s="3" t="s">
        <v>41</v>
      </c>
      <c r="B9" s="3" t="s">
        <v>42</v>
      </c>
      <c r="C9" s="3" t="s">
        <v>29</v>
      </c>
      <c r="D9" s="4" t="s">
        <v>20</v>
      </c>
      <c r="E9" s="5" t="n">
        <v>51662147</v>
      </c>
      <c r="F9" s="3" t="s">
        <v>21</v>
      </c>
      <c r="G9" s="3" t="n">
        <v>9</v>
      </c>
      <c r="H9" s="3" t="n">
        <f aca="false">O9+P9+Q9</f>
        <v>1</v>
      </c>
      <c r="I9" s="3" t="n">
        <v>7</v>
      </c>
      <c r="J9" s="6" t="n">
        <f aca="false">IF(G9=0,"",I9/G9)</f>
        <v>0.777777777777778</v>
      </c>
      <c r="K9" s="7" t="n">
        <f aca="false">IF(ISNUMBER(E9),IF(E9&gt;0,G9/E9*1000000,""),"")</f>
        <v>0.174208787722276</v>
      </c>
      <c r="L9" s="7" t="n">
        <f aca="false">IF(G9=0,"",H9/G9)</f>
        <v>0.111111111111111</v>
      </c>
      <c r="M9" s="3" t="s">
        <v>30</v>
      </c>
      <c r="N9" s="5" t="n">
        <v>15526</v>
      </c>
      <c r="O9" s="3" t="n">
        <v>1</v>
      </c>
      <c r="P9" s="3" t="n">
        <v>0</v>
      </c>
      <c r="Q9" s="3" t="n">
        <v>0</v>
      </c>
    </row>
    <row r="10" customFormat="false" ht="15" hidden="false" customHeight="true" outlineLevel="0" collapsed="false">
      <c r="A10" s="3" t="s">
        <v>43</v>
      </c>
      <c r="B10" s="3" t="s">
        <v>44</v>
      </c>
      <c r="C10" s="3" t="s">
        <v>29</v>
      </c>
      <c r="D10" s="4" t="s">
        <v>20</v>
      </c>
      <c r="E10" s="5" t="n">
        <v>24074580</v>
      </c>
      <c r="F10" s="3" t="s">
        <v>21</v>
      </c>
      <c r="G10" s="3" t="n">
        <v>8</v>
      </c>
      <c r="H10" s="3" t="n">
        <f aca="false">O10+P10+Q10</f>
        <v>6</v>
      </c>
      <c r="I10" s="3" t="n">
        <v>3</v>
      </c>
      <c r="J10" s="6" t="n">
        <f aca="false">IF(G10=0,"",I10/G10)</f>
        <v>0.375</v>
      </c>
      <c r="K10" s="7" t="n">
        <f aca="false">IF(ISNUMBER(E10),IF(E10&gt;0,G10/E10*1000000,""),"")</f>
        <v>0.332300708880487</v>
      </c>
      <c r="L10" s="7" t="n">
        <f aca="false">IF(G10=0,"",H10/G10)</f>
        <v>0.75</v>
      </c>
      <c r="M10" s="3" t="s">
        <v>30</v>
      </c>
      <c r="N10" s="5" t="n">
        <v>7522</v>
      </c>
      <c r="O10" s="3" t="n">
        <v>2</v>
      </c>
      <c r="P10" s="3" t="n">
        <v>4</v>
      </c>
      <c r="Q10" s="3" t="n">
        <v>0</v>
      </c>
    </row>
    <row r="11" customFormat="false" ht="15" hidden="false" customHeight="true" outlineLevel="0" collapsed="false">
      <c r="A11" s="3" t="s">
        <v>45</v>
      </c>
      <c r="B11" s="3" t="s">
        <v>46</v>
      </c>
      <c r="C11" s="3" t="s">
        <v>29</v>
      </c>
      <c r="D11" s="4" t="s">
        <v>20</v>
      </c>
      <c r="E11" s="5" t="n">
        <v>19654739</v>
      </c>
      <c r="F11" s="3" t="s">
        <v>21</v>
      </c>
      <c r="G11" s="3" t="n">
        <v>8</v>
      </c>
      <c r="H11" s="3" t="n">
        <f aca="false">O11+P11+Q11</f>
        <v>4</v>
      </c>
      <c r="I11" s="3" t="n">
        <v>5</v>
      </c>
      <c r="J11" s="6" t="n">
        <f aca="false">IF(G11=0,"",I11/G11)</f>
        <v>0.625</v>
      </c>
      <c r="K11" s="7" t="n">
        <f aca="false">IF(ISNUMBER(E11),IF(E11&gt;0,G11/E11*1000000,""),"")</f>
        <v>0.407026519151437</v>
      </c>
      <c r="L11" s="7" t="n">
        <f aca="false">IF(G11=0,"",H11/G11)</f>
        <v>0.5</v>
      </c>
      <c r="M11" s="3" t="s">
        <v>30</v>
      </c>
      <c r="N11" s="5" t="n">
        <v>5472</v>
      </c>
      <c r="O11" s="3" t="n">
        <v>0</v>
      </c>
      <c r="P11" s="3" t="n">
        <v>4</v>
      </c>
      <c r="Q11" s="3" t="n">
        <v>0</v>
      </c>
    </row>
    <row r="12" customFormat="false" ht="15" hidden="false" customHeight="true" outlineLevel="0" collapsed="false">
      <c r="A12" s="3" t="s">
        <v>47</v>
      </c>
      <c r="B12" s="3" t="s">
        <v>48</v>
      </c>
      <c r="C12" s="3" t="s">
        <v>29</v>
      </c>
      <c r="D12" s="4" t="s">
        <v>20</v>
      </c>
      <c r="E12" s="5" t="n">
        <v>25198821</v>
      </c>
      <c r="F12" s="3" t="s">
        <v>21</v>
      </c>
      <c r="G12" s="3" t="n">
        <v>7</v>
      </c>
      <c r="H12" s="3" t="n">
        <f aca="false">O12+P12+Q12</f>
        <v>5</v>
      </c>
      <c r="I12" s="3" t="n">
        <v>2</v>
      </c>
      <c r="J12" s="6" t="n">
        <f aca="false">IF(G12=0,"",I12/G12)</f>
        <v>0.285714285714286</v>
      </c>
      <c r="K12" s="7" t="n">
        <f aca="false">IF(ISNUMBER(E12),IF(E12&gt;0,G12/E12*1000000,""),"")</f>
        <v>0.277790774417581</v>
      </c>
      <c r="L12" s="7" t="n">
        <f aca="false">IF(G12=0,"",H12/G12)</f>
        <v>0.714285714285714</v>
      </c>
      <c r="M12" s="3" t="s">
        <v>30</v>
      </c>
      <c r="N12" s="5" t="n">
        <v>4001</v>
      </c>
      <c r="O12" s="3" t="n">
        <v>2</v>
      </c>
      <c r="P12" s="3" t="n">
        <v>3</v>
      </c>
      <c r="Q12" s="3" t="n">
        <v>0</v>
      </c>
    </row>
    <row r="13" customFormat="false" ht="15" hidden="false" customHeight="true" outlineLevel="0" collapsed="false">
      <c r="A13" s="3" t="s">
        <v>49</v>
      </c>
      <c r="B13" s="3" t="s">
        <v>50</v>
      </c>
      <c r="C13" s="3" t="s">
        <v>29</v>
      </c>
      <c r="D13" s="4" t="s">
        <v>20</v>
      </c>
      <c r="E13" s="5" t="n">
        <v>112832473</v>
      </c>
      <c r="F13" s="3" t="s">
        <v>21</v>
      </c>
      <c r="G13" s="3" t="n">
        <v>6</v>
      </c>
      <c r="H13" s="3" t="n">
        <f aca="false">O13+P13+Q13</f>
        <v>4</v>
      </c>
      <c r="I13" s="3" t="n">
        <v>2</v>
      </c>
      <c r="J13" s="6" t="n">
        <f aca="false">IF(G13=0,"",I13/G13)</f>
        <v>0.333333333333333</v>
      </c>
      <c r="K13" s="7" t="n">
        <f aca="false">IF(ISNUMBER(E13),IF(E13&gt;0,G13/E13*1000000,""),"")</f>
        <v>0.0531761809386204</v>
      </c>
      <c r="L13" s="7" t="n">
        <f aca="false">IF(G13=0,"",H13/G13)</f>
        <v>0.666666666666667</v>
      </c>
      <c r="M13" s="3" t="s">
        <v>30</v>
      </c>
      <c r="N13" s="5" t="n">
        <v>3785</v>
      </c>
      <c r="O13" s="3" t="n">
        <v>1</v>
      </c>
      <c r="P13" s="3" t="n">
        <v>1</v>
      </c>
      <c r="Q13" s="3" t="n">
        <v>2</v>
      </c>
    </row>
    <row r="14" customFormat="false" ht="15" hidden="false" customHeight="true" outlineLevel="0" collapsed="false">
      <c r="A14" s="3" t="s">
        <v>51</v>
      </c>
      <c r="B14" s="3" t="s">
        <v>52</v>
      </c>
      <c r="C14" s="3" t="s">
        <v>53</v>
      </c>
      <c r="D14" s="4" t="s">
        <v>20</v>
      </c>
      <c r="E14" s="5" t="n">
        <v>25620427</v>
      </c>
      <c r="F14" s="3" t="s">
        <v>21</v>
      </c>
      <c r="G14" s="3" t="n">
        <v>6</v>
      </c>
      <c r="H14" s="3" t="n">
        <f aca="false">O14+P14+Q14</f>
        <v>2</v>
      </c>
      <c r="I14" s="3" t="n">
        <v>5</v>
      </c>
      <c r="J14" s="6" t="n">
        <f aca="false">IF(G14=0,"",I14/G14)</f>
        <v>0.833333333333333</v>
      </c>
      <c r="K14" s="7" t="n">
        <f aca="false">IF(ISNUMBER(E14),IF(E14&gt;0,G14/E14*1000000,""),"")</f>
        <v>0.234188134335154</v>
      </c>
      <c r="L14" s="7" t="n">
        <f aca="false">IF(G14=0,"",H14/G14)</f>
        <v>0.333333333333333</v>
      </c>
      <c r="M14" s="3" t="s">
        <v>30</v>
      </c>
      <c r="N14" s="5" t="n">
        <v>6847</v>
      </c>
      <c r="O14" s="3" t="n">
        <v>0</v>
      </c>
      <c r="P14" s="3" t="n">
        <v>2</v>
      </c>
      <c r="Q14" s="3" t="n">
        <v>0</v>
      </c>
    </row>
    <row r="15" customFormat="false" ht="15" hidden="false" customHeight="true" outlineLevel="0" collapsed="false">
      <c r="A15" s="3" t="s">
        <v>54</v>
      </c>
      <c r="B15" s="3" t="s">
        <v>55</v>
      </c>
      <c r="C15" s="3" t="s">
        <v>53</v>
      </c>
      <c r="D15" s="4" t="s">
        <v>20</v>
      </c>
      <c r="E15" s="5" t="n">
        <v>41773878</v>
      </c>
      <c r="F15" s="3" t="s">
        <v>21</v>
      </c>
      <c r="G15" s="3" t="n">
        <v>6</v>
      </c>
      <c r="H15" s="3" t="n">
        <f aca="false">O15+P15+Q15</f>
        <v>2</v>
      </c>
      <c r="I15" s="3" t="n">
        <v>5</v>
      </c>
      <c r="J15" s="6" t="n">
        <f aca="false">IF(G15=0,"",I15/G15)</f>
        <v>0.833333333333333</v>
      </c>
      <c r="K15" s="7" t="n">
        <f aca="false">IF(ISNUMBER(E15),IF(E15&gt;0,G15/E15*1000000,""),"")</f>
        <v>0.143630428565909</v>
      </c>
      <c r="L15" s="7" t="n">
        <f aca="false">IF(G15=0,"",H15/G15)</f>
        <v>0.333333333333333</v>
      </c>
      <c r="M15" s="3" t="s">
        <v>30</v>
      </c>
      <c r="N15" s="5" t="n">
        <v>1794</v>
      </c>
      <c r="O15" s="3" t="n">
        <v>0</v>
      </c>
      <c r="P15" s="3" t="n">
        <v>2</v>
      </c>
      <c r="Q15" s="3" t="n">
        <v>0</v>
      </c>
    </row>
    <row r="16" customFormat="false" ht="15" hidden="false" customHeight="true" outlineLevel="0" collapsed="false">
      <c r="A16" s="3" t="s">
        <v>56</v>
      </c>
      <c r="B16" s="3" t="s">
        <v>57</v>
      </c>
      <c r="C16" s="3" t="s">
        <v>29</v>
      </c>
      <c r="D16" s="4" t="s">
        <v>20</v>
      </c>
      <c r="E16" s="5" t="n">
        <v>29879337</v>
      </c>
      <c r="F16" s="3" t="s">
        <v>21</v>
      </c>
      <c r="G16" s="3" t="n">
        <v>5</v>
      </c>
      <c r="H16" s="3" t="n">
        <f aca="false">O16+P16+Q16</f>
        <v>5</v>
      </c>
      <c r="I16" s="3" t="n">
        <v>1</v>
      </c>
      <c r="J16" s="6" t="n">
        <f aca="false">IF(G16=0,"",I16/G16)</f>
        <v>0.2</v>
      </c>
      <c r="K16" s="7" t="n">
        <f aca="false">IF(ISNUMBER(E16),IF(E16&gt;0,G16/E16*1000000,""),"")</f>
        <v>0.167339723769641</v>
      </c>
      <c r="L16" s="7" t="n">
        <f aca="false">IF(G16=0,"",H16/G16)</f>
        <v>1</v>
      </c>
      <c r="M16" s="3" t="s">
        <v>36</v>
      </c>
      <c r="N16" s="5" t="n">
        <v>2186</v>
      </c>
      <c r="O16" s="3" t="n">
        <v>1</v>
      </c>
      <c r="P16" s="3" t="n">
        <v>2</v>
      </c>
      <c r="Q16" s="3" t="n">
        <v>2</v>
      </c>
    </row>
    <row r="17" customFormat="false" ht="15" hidden="false" customHeight="true" outlineLevel="0" collapsed="false">
      <c r="A17" s="3" t="s">
        <v>58</v>
      </c>
      <c r="B17" s="3" t="s">
        <v>59</v>
      </c>
      <c r="C17" s="3" t="s">
        <v>19</v>
      </c>
      <c r="D17" s="4" t="s">
        <v>20</v>
      </c>
      <c r="E17" s="5" t="n">
        <v>255219554</v>
      </c>
      <c r="F17" s="3" t="s">
        <v>21</v>
      </c>
      <c r="G17" s="3" t="n">
        <v>4</v>
      </c>
      <c r="H17" s="3" t="n">
        <f aca="false">O17+P17+Q17</f>
        <v>4</v>
      </c>
      <c r="I17" s="3" t="n">
        <v>2</v>
      </c>
      <c r="J17" s="6" t="n">
        <f aca="false">IF(G17=0,"",I17/G17)</f>
        <v>0.5</v>
      </c>
      <c r="K17" s="7" t="n">
        <f aca="false">IF(ISNUMBER(E17),IF(E17&gt;0,G17/E17*1000000,""),"")</f>
        <v>0.0156727803074211</v>
      </c>
      <c r="L17" s="7" t="n">
        <f aca="false">IF(G17=0,"",H17/G17)</f>
        <v>1</v>
      </c>
      <c r="M17" s="3" t="s">
        <v>36</v>
      </c>
      <c r="N17" s="5" t="n">
        <v>2964</v>
      </c>
      <c r="O17" s="3" t="n">
        <v>0</v>
      </c>
      <c r="P17" s="3" t="n">
        <v>4</v>
      </c>
      <c r="Q17" s="3" t="n">
        <v>0</v>
      </c>
    </row>
    <row r="18" customFormat="false" ht="15" hidden="false" customHeight="true" outlineLevel="0" collapsed="false">
      <c r="A18" s="3" t="s">
        <v>60</v>
      </c>
      <c r="B18" s="3" t="s">
        <v>61</v>
      </c>
      <c r="C18" s="3" t="s">
        <v>53</v>
      </c>
      <c r="D18" s="4" t="s">
        <v>20</v>
      </c>
      <c r="E18" s="5" t="n">
        <v>5849421</v>
      </c>
      <c r="F18" s="3" t="s">
        <v>21</v>
      </c>
      <c r="G18" s="3" t="n">
        <v>3</v>
      </c>
      <c r="H18" s="3" t="n">
        <f aca="false">O18+P18+Q18</f>
        <v>1</v>
      </c>
      <c r="I18" s="3" t="n">
        <v>2</v>
      </c>
      <c r="J18" s="6" t="n">
        <f aca="false">IF(G18=0,"",I18/G18)</f>
        <v>0.666666666666667</v>
      </c>
      <c r="K18" s="7" t="n">
        <f aca="false">IF(ISNUMBER(E18),IF(E18&gt;0,G18/E18*1000000,""),"")</f>
        <v>0.512871273926086</v>
      </c>
      <c r="L18" s="7" t="n">
        <f aca="false">IF(G18=0,"",H18/G18)</f>
        <v>0.333333333333333</v>
      </c>
      <c r="M18" s="3" t="s">
        <v>36</v>
      </c>
      <c r="N18" s="5" t="n">
        <v>3813</v>
      </c>
      <c r="O18" s="3" t="n">
        <v>0</v>
      </c>
      <c r="P18" s="3" t="n">
        <v>1</v>
      </c>
      <c r="Q18" s="3" t="n">
        <v>0</v>
      </c>
    </row>
    <row r="19" customFormat="false" ht="15" hidden="false" customHeight="true" outlineLevel="0" collapsed="false">
      <c r="A19" s="3" t="s">
        <v>62</v>
      </c>
      <c r="B19" s="3" t="s">
        <v>63</v>
      </c>
      <c r="C19" s="3" t="s">
        <v>64</v>
      </c>
      <c r="D19" s="4" t="s">
        <v>20</v>
      </c>
      <c r="E19" s="5" t="n">
        <v>38980376</v>
      </c>
      <c r="F19" s="3" t="s">
        <v>21</v>
      </c>
      <c r="G19" s="3" t="n">
        <v>2</v>
      </c>
      <c r="H19" s="3" t="n">
        <f aca="false">O19+P19+Q19</f>
        <v>2</v>
      </c>
      <c r="I19" s="3" t="n">
        <v>0</v>
      </c>
      <c r="J19" s="6" t="n">
        <f aca="false">IF(G19=0,"",I19/G19)</f>
        <v>0</v>
      </c>
      <c r="K19" s="7" t="n">
        <f aca="false">IF(ISNUMBER(E19),IF(E19&gt;0,G19/E19*1000000,""),"")</f>
        <v>0.0513078683489354</v>
      </c>
      <c r="L19" s="7" t="n">
        <f aca="false">IF(G19=0,"",H19/G19)</f>
        <v>1</v>
      </c>
      <c r="M19" s="3" t="s">
        <v>26</v>
      </c>
      <c r="N19" s="5" t="n">
        <v>72960</v>
      </c>
      <c r="O19" s="3" t="n">
        <v>0</v>
      </c>
      <c r="P19" s="3" t="n">
        <v>2</v>
      </c>
      <c r="Q19" s="3" t="n">
        <v>0</v>
      </c>
    </row>
    <row r="20" customFormat="false" ht="15" hidden="false" customHeight="true" outlineLevel="0" collapsed="false">
      <c r="A20" s="3" t="s">
        <v>65</v>
      </c>
      <c r="B20" s="3" t="s">
        <v>66</v>
      </c>
      <c r="C20" s="3" t="s">
        <v>25</v>
      </c>
      <c r="D20" s="4" t="s">
        <v>20</v>
      </c>
      <c r="E20" s="5" t="n">
        <v>11906095</v>
      </c>
      <c r="F20" s="3" t="s">
        <v>21</v>
      </c>
      <c r="G20" s="3" t="n">
        <v>1</v>
      </c>
      <c r="H20" s="3" t="n">
        <f aca="false">O20+P20+Q20</f>
        <v>1</v>
      </c>
      <c r="I20" s="3" t="n">
        <v>0</v>
      </c>
      <c r="J20" s="6" t="n">
        <f aca="false">IF(G20=0,"",I20/G20)</f>
        <v>0</v>
      </c>
      <c r="K20" s="7" t="n">
        <f aca="false">IF(ISNUMBER(E20),IF(E20&gt;0,G20/E20*1000000,""),"")</f>
        <v>0.0839905947332018</v>
      </c>
      <c r="L20" s="7" t="n">
        <f aca="false">IF(G20=0,"",H20/G20)</f>
        <v>1</v>
      </c>
      <c r="M20" s="3" t="s">
        <v>36</v>
      </c>
      <c r="N20" s="5" t="n">
        <v>2441</v>
      </c>
      <c r="O20" s="3" t="n">
        <v>0</v>
      </c>
      <c r="P20" s="3" t="n">
        <v>1</v>
      </c>
      <c r="Q20" s="3" t="n">
        <v>0</v>
      </c>
    </row>
    <row r="21" customFormat="false" ht="15" hidden="false" customHeight="true" outlineLevel="0" collapsed="false">
      <c r="A21" s="3" t="s">
        <v>67</v>
      </c>
      <c r="B21" s="3" t="s">
        <v>68</v>
      </c>
      <c r="C21" s="3" t="s">
        <v>53</v>
      </c>
      <c r="D21" s="4" t="s">
        <v>20</v>
      </c>
      <c r="E21" s="5" t="n">
        <v>5413596</v>
      </c>
      <c r="F21" s="3" t="s">
        <v>21</v>
      </c>
      <c r="G21" s="3" t="n">
        <v>1</v>
      </c>
      <c r="H21" s="3" t="n">
        <f aca="false">O21+P21+Q21</f>
        <v>1</v>
      </c>
      <c r="I21" s="3" t="n">
        <v>0</v>
      </c>
      <c r="J21" s="6" t="n">
        <f aca="false">IF(G21=0,"",I21/G21)</f>
        <v>0</v>
      </c>
      <c r="K21" s="7" t="n">
        <f aca="false">IF(ISNUMBER(E21),IF(E21&gt;0,G21/E21*1000000,""),"")</f>
        <v>0.184720101019729</v>
      </c>
      <c r="L21" s="7" t="n">
        <f aca="false">IF(G21=0,"",H21/G21)</f>
        <v>1</v>
      </c>
      <c r="M21" s="3" t="s">
        <v>36</v>
      </c>
      <c r="N21" s="5" t="n">
        <v>29772</v>
      </c>
      <c r="O21" s="3" t="n">
        <v>0</v>
      </c>
      <c r="P21" s="3" t="n">
        <v>1</v>
      </c>
      <c r="Q21" s="3" t="n">
        <v>0</v>
      </c>
    </row>
    <row r="22" customFormat="false" ht="15" hidden="false" customHeight="true" outlineLevel="0" collapsed="false">
      <c r="A22" s="8" t="s">
        <v>69</v>
      </c>
      <c r="B22" s="8" t="s">
        <v>70</v>
      </c>
      <c r="C22" s="8" t="s">
        <v>25</v>
      </c>
      <c r="D22" s="9" t="s">
        <v>71</v>
      </c>
      <c r="E22" s="10" t="n">
        <v>41651653</v>
      </c>
      <c r="F22" s="8" t="s">
        <v>21</v>
      </c>
      <c r="G22" s="8" t="n">
        <v>285</v>
      </c>
      <c r="H22" s="8" t="n">
        <f aca="false">O22+P22+Q22</f>
        <v>394</v>
      </c>
      <c r="I22" s="8" t="n">
        <v>12</v>
      </c>
      <c r="J22" s="11" t="n">
        <f aca="false">IF(G22=0,"",I22/G22)</f>
        <v>0.0421052631578947</v>
      </c>
      <c r="K22" s="12" t="n">
        <f aca="false">IF(ISNUMBER(E22),IF(E22&gt;0,G22/E22*1000000,""),"")</f>
        <v>6.84246553192019</v>
      </c>
      <c r="L22" s="12" t="n">
        <f aca="false">IF(G22=0,"",H22/G22)</f>
        <v>1.38245614035088</v>
      </c>
      <c r="M22" s="8" t="s">
        <v>22</v>
      </c>
      <c r="N22" s="10"/>
      <c r="O22" s="8" t="n">
        <v>366</v>
      </c>
      <c r="P22" s="8" t="n">
        <v>28</v>
      </c>
      <c r="Q22" s="8" t="n">
        <v>0</v>
      </c>
    </row>
    <row r="23" customFormat="false" ht="15" hidden="false" customHeight="true" outlineLevel="0" collapsed="false">
      <c r="A23" s="8" t="s">
        <v>72</v>
      </c>
      <c r="B23" s="8" t="s">
        <v>73</v>
      </c>
      <c r="C23" s="8" t="s">
        <v>25</v>
      </c>
      <c r="D23" s="9" t="s">
        <v>71</v>
      </c>
      <c r="E23" s="10" t="n">
        <v>341784857</v>
      </c>
      <c r="F23" s="8" t="s">
        <v>21</v>
      </c>
      <c r="G23" s="8" t="n">
        <v>149</v>
      </c>
      <c r="H23" s="8" t="n">
        <f aca="false">O23+P23+Q23</f>
        <v>172</v>
      </c>
      <c r="I23" s="8" t="n">
        <v>4</v>
      </c>
      <c r="J23" s="11" t="n">
        <f aca="false">IF(G23=0,"",I23/G23)</f>
        <v>0.0268456375838926</v>
      </c>
      <c r="K23" s="12" t="n">
        <f aca="false">IF(ISNUMBER(E23),IF(E23&gt;0,G23/E23*1000000,""),"")</f>
        <v>0.435946756997488</v>
      </c>
      <c r="L23" s="12" t="n">
        <f aca="false">IF(G23=0,"",H23/G23)</f>
        <v>1.15436241610738</v>
      </c>
      <c r="M23" s="8" t="s">
        <v>22</v>
      </c>
      <c r="N23" s="10"/>
      <c r="O23" s="8" t="n">
        <v>149</v>
      </c>
      <c r="P23" s="8" t="n">
        <v>6</v>
      </c>
      <c r="Q23" s="8" t="n">
        <v>17</v>
      </c>
    </row>
    <row r="24" customFormat="false" ht="15" hidden="false" customHeight="true" outlineLevel="0" collapsed="false">
      <c r="A24" s="8" t="s">
        <v>74</v>
      </c>
      <c r="B24" s="8" t="s">
        <v>75</v>
      </c>
      <c r="C24" s="8" t="s">
        <v>19</v>
      </c>
      <c r="D24" s="9" t="s">
        <v>71</v>
      </c>
      <c r="E24" s="10" t="n">
        <v>123366734</v>
      </c>
      <c r="F24" s="8" t="s">
        <v>21</v>
      </c>
      <c r="G24" s="8" t="n">
        <v>62</v>
      </c>
      <c r="H24" s="8" t="n">
        <f aca="false">O24+P24+Q24</f>
        <v>56</v>
      </c>
      <c r="I24" s="8" t="n">
        <v>14</v>
      </c>
      <c r="J24" s="11" t="n">
        <f aca="false">IF(G24=0,"",I24/G24)</f>
        <v>0.225806451612903</v>
      </c>
      <c r="K24" s="12" t="n">
        <f aca="false">IF(ISNUMBER(E24),IF(E24&gt;0,G24/E24*1000000,""),"")</f>
        <v>0.502566599517825</v>
      </c>
      <c r="L24" s="12" t="n">
        <f aca="false">IF(G24=0,"",H24/G24)</f>
        <v>0.903225806451613</v>
      </c>
      <c r="M24" s="8" t="s">
        <v>22</v>
      </c>
      <c r="N24" s="10"/>
      <c r="O24" s="8" t="n">
        <v>45</v>
      </c>
      <c r="P24" s="8" t="n">
        <v>11</v>
      </c>
      <c r="Q24" s="8" t="n">
        <v>0</v>
      </c>
    </row>
    <row r="25" customFormat="false" ht="15" hidden="false" customHeight="true" outlineLevel="0" collapsed="false">
      <c r="A25" s="8" t="s">
        <v>76</v>
      </c>
      <c r="B25" s="8" t="s">
        <v>77</v>
      </c>
      <c r="C25" s="8" t="s">
        <v>64</v>
      </c>
      <c r="D25" s="9" t="s">
        <v>71</v>
      </c>
      <c r="E25" s="10" t="n">
        <v>69487000</v>
      </c>
      <c r="F25" s="8" t="s">
        <v>21</v>
      </c>
      <c r="G25" s="8" t="n">
        <v>56</v>
      </c>
      <c r="H25" s="8" t="n">
        <f aca="false">O25+P25+Q25</f>
        <v>89</v>
      </c>
      <c r="I25" s="8" t="n">
        <v>1</v>
      </c>
      <c r="J25" s="11" t="n">
        <f aca="false">IF(G25=0,"",I25/G25)</f>
        <v>0.0178571428571429</v>
      </c>
      <c r="K25" s="12" t="n">
        <f aca="false">IF(ISNUMBER(E25),IF(E25&gt;0,G25/E25*1000000,""),"")</f>
        <v>0.805906140716969</v>
      </c>
      <c r="L25" s="12" t="n">
        <f aca="false">IF(G25=0,"",H25/G25)</f>
        <v>1.58928571428571</v>
      </c>
      <c r="M25" s="8" t="s">
        <v>22</v>
      </c>
      <c r="N25" s="10"/>
      <c r="O25" s="8" t="n">
        <v>74</v>
      </c>
      <c r="P25" s="8" t="n">
        <v>15</v>
      </c>
      <c r="Q25" s="8" t="n">
        <v>0</v>
      </c>
    </row>
    <row r="26" customFormat="false" ht="15" hidden="false" customHeight="true" outlineLevel="0" collapsed="false">
      <c r="A26" s="8" t="s">
        <v>78</v>
      </c>
      <c r="B26" s="8" t="s">
        <v>79</v>
      </c>
      <c r="C26" s="8" t="s">
        <v>33</v>
      </c>
      <c r="D26" s="9" t="s">
        <v>71</v>
      </c>
      <c r="E26" s="10" t="n">
        <v>19859921</v>
      </c>
      <c r="F26" s="8" t="s">
        <v>21</v>
      </c>
      <c r="G26" s="8" t="n">
        <v>53</v>
      </c>
      <c r="H26" s="8" t="n">
        <f aca="false">O26+P26+Q26</f>
        <v>28</v>
      </c>
      <c r="I26" s="8" t="n">
        <v>23</v>
      </c>
      <c r="J26" s="11" t="n">
        <f aca="false">IF(G26=0,"",I26/G26)</f>
        <v>0.433962264150943</v>
      </c>
      <c r="K26" s="12" t="n">
        <f aca="false">IF(ISNUMBER(E26),IF(E26&gt;0,G26/E26*1000000,""),"")</f>
        <v>2.66869138099794</v>
      </c>
      <c r="L26" s="12" t="n">
        <f aca="false">IF(G26=0,"",H26/G26)</f>
        <v>0.528301886792453</v>
      </c>
      <c r="M26" s="8" t="s">
        <v>22</v>
      </c>
      <c r="N26" s="10"/>
      <c r="O26" s="8" t="n">
        <v>20</v>
      </c>
      <c r="P26" s="8" t="n">
        <v>8</v>
      </c>
      <c r="Q26" s="8" t="n">
        <v>0</v>
      </c>
    </row>
    <row r="27" customFormat="false" ht="15" hidden="false" customHeight="true" outlineLevel="0" collapsed="false">
      <c r="A27" s="8" t="s">
        <v>80</v>
      </c>
      <c r="B27" s="8" t="s">
        <v>81</v>
      </c>
      <c r="C27" s="8" t="s">
        <v>19</v>
      </c>
      <c r="D27" s="9" t="s">
        <v>71</v>
      </c>
      <c r="E27" s="10" t="n">
        <v>51684564</v>
      </c>
      <c r="F27" s="8" t="s">
        <v>21</v>
      </c>
      <c r="G27" s="8" t="n">
        <v>51</v>
      </c>
      <c r="H27" s="8" t="n">
        <f aca="false">O27+P27+Q27</f>
        <v>41</v>
      </c>
      <c r="I27" s="8" t="n">
        <v>15</v>
      </c>
      <c r="J27" s="11" t="n">
        <f aca="false">IF(G27=0,"",I27/G27)</f>
        <v>0.294117647058824</v>
      </c>
      <c r="K27" s="12" t="n">
        <f aca="false">IF(ISNUMBER(E27),IF(E27&gt;0,G27/E27*1000000,""),"")</f>
        <v>0.986754962274617</v>
      </c>
      <c r="L27" s="12" t="n">
        <f aca="false">IF(G27=0,"",H27/G27)</f>
        <v>0.803921568627451</v>
      </c>
      <c r="M27" s="8" t="s">
        <v>22</v>
      </c>
      <c r="N27" s="10"/>
      <c r="O27" s="8" t="n">
        <v>23</v>
      </c>
      <c r="P27" s="8" t="n">
        <v>18</v>
      </c>
      <c r="Q27" s="8" t="n">
        <v>0</v>
      </c>
    </row>
    <row r="28" customFormat="false" ht="15" hidden="false" customHeight="true" outlineLevel="0" collapsed="false">
      <c r="A28" s="8" t="s">
        <v>82</v>
      </c>
      <c r="B28" s="8" t="s">
        <v>83</v>
      </c>
      <c r="C28" s="8" t="s">
        <v>33</v>
      </c>
      <c r="D28" s="9" t="s">
        <v>71</v>
      </c>
      <c r="E28" s="10" t="n">
        <v>3384688</v>
      </c>
      <c r="F28" s="8" t="s">
        <v>21</v>
      </c>
      <c r="G28" s="8" t="n">
        <v>50</v>
      </c>
      <c r="H28" s="8" t="n">
        <f aca="false">O28+P28+Q28</f>
        <v>34</v>
      </c>
      <c r="I28" s="8" t="n">
        <v>12</v>
      </c>
      <c r="J28" s="11" t="n">
        <f aca="false">IF(G28=0,"",I28/G28)</f>
        <v>0.24</v>
      </c>
      <c r="K28" s="12" t="n">
        <f aca="false">IF(ISNUMBER(E28),IF(E28&gt;0,G28/E28*1000000,""),"")</f>
        <v>14.7724103373782</v>
      </c>
      <c r="L28" s="12" t="n">
        <f aca="false">IF(G28=0,"",H28/G28)</f>
        <v>0.68</v>
      </c>
      <c r="M28" s="8" t="s">
        <v>22</v>
      </c>
      <c r="N28" s="10"/>
      <c r="O28" s="8" t="n">
        <v>27</v>
      </c>
      <c r="P28" s="8" t="n">
        <v>6</v>
      </c>
      <c r="Q28" s="8" t="n">
        <v>1</v>
      </c>
    </row>
    <row r="29" customFormat="false" ht="15" hidden="false" customHeight="true" outlineLevel="0" collapsed="false">
      <c r="A29" s="8" t="s">
        <v>84</v>
      </c>
      <c r="B29" s="8" t="s">
        <v>85</v>
      </c>
      <c r="C29" s="8" t="s">
        <v>64</v>
      </c>
      <c r="D29" s="9" t="s">
        <v>71</v>
      </c>
      <c r="E29" s="10" t="n">
        <v>83491249</v>
      </c>
      <c r="F29" s="8" t="s">
        <v>21</v>
      </c>
      <c r="G29" s="8" t="n">
        <v>48</v>
      </c>
      <c r="H29" s="8" t="n">
        <f aca="false">O29+P29+Q29</f>
        <v>53</v>
      </c>
      <c r="I29" s="8" t="n">
        <v>0</v>
      </c>
      <c r="J29" s="11" t="n">
        <f aca="false">IF(G29=0,"",I29/G29)</f>
        <v>0</v>
      </c>
      <c r="K29" s="12" t="n">
        <f aca="false">IF(ISNUMBER(E29),IF(E29&gt;0,G29/E29*1000000,""),"")</f>
        <v>0.574910551404016</v>
      </c>
      <c r="L29" s="12" t="n">
        <f aca="false">IF(G29=0,"",H29/G29)</f>
        <v>1.10416666666667</v>
      </c>
      <c r="M29" s="8" t="s">
        <v>22</v>
      </c>
      <c r="N29" s="10"/>
      <c r="O29" s="8" t="n">
        <v>41</v>
      </c>
      <c r="P29" s="8" t="n">
        <v>11</v>
      </c>
      <c r="Q29" s="8" t="n">
        <v>1</v>
      </c>
    </row>
    <row r="30" customFormat="false" ht="15" hidden="false" customHeight="true" outlineLevel="0" collapsed="false">
      <c r="A30" s="8" t="s">
        <v>86</v>
      </c>
      <c r="B30" s="8" t="s">
        <v>87</v>
      </c>
      <c r="C30" s="8" t="s">
        <v>19</v>
      </c>
      <c r="D30" s="9" t="s">
        <v>71</v>
      </c>
      <c r="E30" s="10" t="n">
        <v>6111175</v>
      </c>
      <c r="F30" s="8" t="s">
        <v>21</v>
      </c>
      <c r="G30" s="8" t="n">
        <v>38</v>
      </c>
      <c r="H30" s="8" t="n">
        <f aca="false">O30+P30+Q30</f>
        <v>13</v>
      </c>
      <c r="I30" s="8" t="n">
        <v>30</v>
      </c>
      <c r="J30" s="11" t="n">
        <f aca="false">IF(G30=0,"",I30/G30)</f>
        <v>0.789473684210526</v>
      </c>
      <c r="K30" s="12" t="n">
        <f aca="false">IF(ISNUMBER(E30),IF(E30&gt;0,G30/E30*1000000,""),"")</f>
        <v>6.21811681059698</v>
      </c>
      <c r="L30" s="12" t="n">
        <f aca="false">IF(G30=0,"",H30/G30)</f>
        <v>0.342105263157895</v>
      </c>
      <c r="M30" s="8" t="s">
        <v>22</v>
      </c>
      <c r="N30" s="10"/>
      <c r="O30" s="8" t="n">
        <v>4</v>
      </c>
      <c r="P30" s="8" t="n">
        <v>9</v>
      </c>
      <c r="Q30" s="8" t="n">
        <v>0</v>
      </c>
    </row>
    <row r="31" customFormat="false" ht="15" hidden="false" customHeight="true" outlineLevel="0" collapsed="false">
      <c r="A31" s="8" t="s">
        <v>88</v>
      </c>
      <c r="B31" s="8" t="s">
        <v>89</v>
      </c>
      <c r="C31" s="8" t="s">
        <v>33</v>
      </c>
      <c r="D31" s="9" t="s">
        <v>71</v>
      </c>
      <c r="E31" s="10" t="n">
        <v>835986</v>
      </c>
      <c r="F31" s="8" t="s">
        <v>21</v>
      </c>
      <c r="G31" s="8" t="n">
        <v>37</v>
      </c>
      <c r="H31" s="8" t="n">
        <f aca="false">O31+P31+Q31</f>
        <v>14</v>
      </c>
      <c r="I31" s="8" t="n">
        <v>21</v>
      </c>
      <c r="J31" s="11" t="n">
        <f aca="false">IF(G31=0,"",I31/G31)</f>
        <v>0.567567567567568</v>
      </c>
      <c r="K31" s="12" t="n">
        <f aca="false">IF(ISNUMBER(E31),IF(E31&gt;0,G31/E31*1000000,""),"")</f>
        <v>44.259114387083</v>
      </c>
      <c r="L31" s="12" t="n">
        <f aca="false">IF(G31=0,"",H31/G31)</f>
        <v>0.378378378378378</v>
      </c>
      <c r="M31" s="8" t="s">
        <v>22</v>
      </c>
      <c r="N31" s="10"/>
      <c r="O31" s="8" t="n">
        <v>11</v>
      </c>
      <c r="P31" s="8" t="n">
        <v>3</v>
      </c>
      <c r="Q31" s="8" t="n">
        <v>0</v>
      </c>
    </row>
    <row r="32" customFormat="false" ht="15" hidden="false" customHeight="true" outlineLevel="0" collapsed="false">
      <c r="A32" s="8" t="s">
        <v>90</v>
      </c>
      <c r="B32" s="8" t="s">
        <v>91</v>
      </c>
      <c r="C32" s="8" t="s">
        <v>92</v>
      </c>
      <c r="D32" s="9" t="s">
        <v>71</v>
      </c>
      <c r="E32" s="10" t="n">
        <v>5324700</v>
      </c>
      <c r="F32" s="8" t="s">
        <v>21</v>
      </c>
      <c r="G32" s="8" t="n">
        <v>33</v>
      </c>
      <c r="H32" s="8" t="n">
        <f aca="false">O32+P32+Q32</f>
        <v>43</v>
      </c>
      <c r="I32" s="8" t="n">
        <v>5</v>
      </c>
      <c r="J32" s="11" t="n">
        <f aca="false">IF(G32=0,"",I32/G32)</f>
        <v>0.151515151515152</v>
      </c>
      <c r="K32" s="12" t="n">
        <f aca="false">IF(ISNUMBER(E32),IF(E32&gt;0,G32/E32*1000000,""),"")</f>
        <v>6.19753225533833</v>
      </c>
      <c r="L32" s="12" t="n">
        <f aca="false">IF(G32=0,"",H32/G32)</f>
        <v>1.3030303030303</v>
      </c>
      <c r="M32" s="8" t="s">
        <v>22</v>
      </c>
      <c r="N32" s="10"/>
      <c r="O32" s="8" t="n">
        <v>38</v>
      </c>
      <c r="P32" s="8" t="n">
        <v>5</v>
      </c>
      <c r="Q32" s="8" t="n">
        <v>0</v>
      </c>
    </row>
    <row r="33" customFormat="false" ht="15" hidden="false" customHeight="true" outlineLevel="0" collapsed="false">
      <c r="A33" s="8" t="s">
        <v>93</v>
      </c>
      <c r="B33" s="8" t="s">
        <v>94</v>
      </c>
      <c r="C33" s="8" t="s">
        <v>92</v>
      </c>
      <c r="D33" s="9" t="s">
        <v>71</v>
      </c>
      <c r="E33" s="10" t="n">
        <v>27614411</v>
      </c>
      <c r="F33" s="8" t="s">
        <v>21</v>
      </c>
      <c r="G33" s="8" t="n">
        <v>31</v>
      </c>
      <c r="H33" s="8" t="n">
        <f aca="false">O33+P33+Q33</f>
        <v>34</v>
      </c>
      <c r="I33" s="8" t="n">
        <v>1</v>
      </c>
      <c r="J33" s="11" t="n">
        <f aca="false">IF(G33=0,"",I33/G33)</f>
        <v>0.032258064516129</v>
      </c>
      <c r="K33" s="12" t="n">
        <f aca="false">IF(ISNUMBER(E33),IF(E33&gt;0,G33/E33*1000000,""),"")</f>
        <v>1.12260225285993</v>
      </c>
      <c r="L33" s="12" t="n">
        <f aca="false">IF(G33=0,"",H33/G33)</f>
        <v>1.09677419354839</v>
      </c>
      <c r="M33" s="8" t="s">
        <v>22</v>
      </c>
      <c r="N33" s="10"/>
      <c r="O33" s="8" t="n">
        <v>27</v>
      </c>
      <c r="P33" s="8" t="n">
        <v>7</v>
      </c>
      <c r="Q33" s="8" t="n">
        <v>0</v>
      </c>
    </row>
    <row r="34" customFormat="false" ht="15" hidden="false" customHeight="true" outlineLevel="0" collapsed="false">
      <c r="A34" s="8" t="s">
        <v>95</v>
      </c>
      <c r="B34" s="8" t="s">
        <v>96</v>
      </c>
      <c r="C34" s="8" t="s">
        <v>53</v>
      </c>
      <c r="D34" s="9" t="s">
        <v>71</v>
      </c>
      <c r="E34" s="10" t="n">
        <v>10122800</v>
      </c>
      <c r="F34" s="8" t="s">
        <v>21</v>
      </c>
      <c r="G34" s="8" t="n">
        <v>30</v>
      </c>
      <c r="H34" s="8" t="n">
        <f aca="false">O34+P34+Q34</f>
        <v>38</v>
      </c>
      <c r="I34" s="8" t="n">
        <v>1</v>
      </c>
      <c r="J34" s="11" t="n">
        <f aca="false">IF(G34=0,"",I34/G34)</f>
        <v>0.0333333333333333</v>
      </c>
      <c r="K34" s="12" t="n">
        <f aca="false">IF(ISNUMBER(E34),IF(E34&gt;0,G34/E34*1000000,""),"")</f>
        <v>2.96360690717983</v>
      </c>
      <c r="L34" s="12" t="n">
        <f aca="false">IF(G34=0,"",H34/G34)</f>
        <v>1.26666666666667</v>
      </c>
      <c r="M34" s="8" t="s">
        <v>22</v>
      </c>
      <c r="N34" s="10"/>
      <c r="O34" s="8" t="n">
        <v>26</v>
      </c>
      <c r="P34" s="8" t="n">
        <v>12</v>
      </c>
      <c r="Q34" s="8" t="n">
        <v>0</v>
      </c>
    </row>
    <row r="35" customFormat="false" ht="15" hidden="false" customHeight="true" outlineLevel="0" collapsed="false">
      <c r="A35" s="8" t="s">
        <v>97</v>
      </c>
      <c r="B35" s="8" t="s">
        <v>98</v>
      </c>
      <c r="C35" s="8" t="s">
        <v>53</v>
      </c>
      <c r="D35" s="9" t="s">
        <v>71</v>
      </c>
      <c r="E35" s="10" t="n">
        <v>11513149</v>
      </c>
      <c r="F35" s="8" t="s">
        <v>21</v>
      </c>
      <c r="G35" s="8" t="n">
        <v>28</v>
      </c>
      <c r="H35" s="8" t="n">
        <f aca="false">O35+P35+Q35</f>
        <v>29</v>
      </c>
      <c r="I35" s="8" t="n">
        <v>10</v>
      </c>
      <c r="J35" s="11" t="n">
        <f aca="false">IF(G35=0,"",I35/G35)</f>
        <v>0.357142857142857</v>
      </c>
      <c r="K35" s="12" t="n">
        <f aca="false">IF(ISNUMBER(E35),IF(E35&gt;0,G35/E35*1000000,""),"")</f>
        <v>2.43200187889517</v>
      </c>
      <c r="L35" s="12" t="n">
        <f aca="false">IF(G35=0,"",H35/G35)</f>
        <v>1.03571428571429</v>
      </c>
      <c r="M35" s="8" t="s">
        <v>22</v>
      </c>
      <c r="N35" s="10"/>
      <c r="O35" s="8" t="n">
        <v>11</v>
      </c>
      <c r="P35" s="8" t="n">
        <v>14</v>
      </c>
      <c r="Q35" s="8" t="n">
        <v>4</v>
      </c>
    </row>
    <row r="36" customFormat="false" ht="15" hidden="false" customHeight="true" outlineLevel="0" collapsed="false">
      <c r="A36" s="8" t="s">
        <v>99</v>
      </c>
      <c r="B36" s="8" t="s">
        <v>100</v>
      </c>
      <c r="C36" s="8" t="s">
        <v>64</v>
      </c>
      <c r="D36" s="9" t="s">
        <v>71</v>
      </c>
      <c r="E36" s="10" t="n">
        <v>36435861</v>
      </c>
      <c r="F36" s="8" t="s">
        <v>21</v>
      </c>
      <c r="G36" s="8" t="n">
        <v>26</v>
      </c>
      <c r="H36" s="8" t="n">
        <f aca="false">O36+P36+Q36</f>
        <v>46</v>
      </c>
      <c r="I36" s="8" t="n">
        <v>0</v>
      </c>
      <c r="J36" s="11" t="n">
        <f aca="false">IF(G36=0,"",I36/G36)</f>
        <v>0</v>
      </c>
      <c r="K36" s="12" t="n">
        <f aca="false">IF(ISNUMBER(E36),IF(E36&gt;0,G36/E36*1000000,""),"")</f>
        <v>0.713582698100643</v>
      </c>
      <c r="L36" s="12" t="n">
        <f aca="false">IF(G36=0,"",H36/G36)</f>
        <v>1.76923076923077</v>
      </c>
      <c r="M36" s="8" t="s">
        <v>22</v>
      </c>
      <c r="N36" s="10"/>
      <c r="O36" s="8" t="n">
        <v>20</v>
      </c>
      <c r="P36" s="8" t="n">
        <v>24</v>
      </c>
      <c r="Q36" s="8" t="n">
        <v>2</v>
      </c>
    </row>
    <row r="37" customFormat="false" ht="15" hidden="false" customHeight="true" outlineLevel="0" collapsed="false">
      <c r="A37" s="8" t="s">
        <v>101</v>
      </c>
      <c r="B37" s="8" t="s">
        <v>102</v>
      </c>
      <c r="C37" s="8" t="s">
        <v>64</v>
      </c>
      <c r="D37" s="9" t="s">
        <v>71</v>
      </c>
      <c r="E37" s="10" t="n">
        <v>18087633</v>
      </c>
      <c r="F37" s="8" t="s">
        <v>21</v>
      </c>
      <c r="G37" s="8" t="n">
        <v>25</v>
      </c>
      <c r="H37" s="8" t="n">
        <f aca="false">O37+P37+Q37</f>
        <v>31</v>
      </c>
      <c r="I37" s="8" t="n">
        <v>0</v>
      </c>
      <c r="J37" s="11" t="n">
        <f aca="false">IF(G37=0,"",I37/G37)</f>
        <v>0</v>
      </c>
      <c r="K37" s="12" t="n">
        <f aca="false">IF(ISNUMBER(E37),IF(E37&gt;0,G37/E37*1000000,""),"")</f>
        <v>1.38215984368988</v>
      </c>
      <c r="L37" s="12" t="n">
        <f aca="false">IF(G37=0,"",H37/G37)</f>
        <v>1.24</v>
      </c>
      <c r="M37" s="8" t="s">
        <v>22</v>
      </c>
      <c r="N37" s="10"/>
      <c r="O37" s="8" t="n">
        <v>19</v>
      </c>
      <c r="P37" s="8" t="n">
        <v>10</v>
      </c>
      <c r="Q37" s="8" t="n">
        <v>2</v>
      </c>
    </row>
    <row r="38" customFormat="false" ht="15" hidden="false" customHeight="true" outlineLevel="0" collapsed="false">
      <c r="A38" s="8" t="s">
        <v>103</v>
      </c>
      <c r="B38" s="8" t="s">
        <v>104</v>
      </c>
      <c r="C38" s="8" t="s">
        <v>64</v>
      </c>
      <c r="D38" s="9" t="s">
        <v>71</v>
      </c>
      <c r="E38" s="10" t="n">
        <v>68720337</v>
      </c>
      <c r="F38" s="8" t="s">
        <v>21</v>
      </c>
      <c r="G38" s="8" t="n">
        <v>23</v>
      </c>
      <c r="H38" s="8" t="n">
        <f aca="false">O38+P38+Q38</f>
        <v>29</v>
      </c>
      <c r="I38" s="8" t="n">
        <v>1</v>
      </c>
      <c r="J38" s="11" t="n">
        <f aca="false">IF(G38=0,"",I38/G38)</f>
        <v>0.0434782608695652</v>
      </c>
      <c r="K38" s="12" t="n">
        <f aca="false">IF(ISNUMBER(E38),IF(E38&gt;0,G38/E38*1000000,""),"")</f>
        <v>0.334689860441168</v>
      </c>
      <c r="L38" s="12" t="n">
        <f aca="false">IF(G38=0,"",H38/G38)</f>
        <v>1.26086956521739</v>
      </c>
      <c r="M38" s="8" t="s">
        <v>22</v>
      </c>
      <c r="N38" s="10"/>
      <c r="O38" s="8" t="n">
        <v>17</v>
      </c>
      <c r="P38" s="8" t="n">
        <v>10</v>
      </c>
      <c r="Q38" s="8" t="n">
        <v>2</v>
      </c>
    </row>
    <row r="39" customFormat="false" ht="15" hidden="false" customHeight="true" outlineLevel="0" collapsed="false">
      <c r="A39" s="8" t="s">
        <v>105</v>
      </c>
      <c r="B39" s="8" t="s">
        <v>106</v>
      </c>
      <c r="C39" s="8" t="s">
        <v>53</v>
      </c>
      <c r="D39" s="9" t="s">
        <v>71</v>
      </c>
      <c r="E39" s="10" t="n">
        <v>36973555</v>
      </c>
      <c r="F39" s="8" t="s">
        <v>21</v>
      </c>
      <c r="G39" s="8" t="n">
        <v>15</v>
      </c>
      <c r="H39" s="8" t="n">
        <f aca="false">O39+P39+Q39</f>
        <v>18</v>
      </c>
      <c r="I39" s="8" t="n">
        <v>2</v>
      </c>
      <c r="J39" s="11" t="n">
        <f aca="false">IF(G39=0,"",I39/G39)</f>
        <v>0.133333333333333</v>
      </c>
      <c r="K39" s="12" t="n">
        <f aca="false">IF(ISNUMBER(E39),IF(E39&gt;0,G39/E39*1000000,""),"")</f>
        <v>0.40569536794609</v>
      </c>
      <c r="L39" s="12" t="n">
        <f aca="false">IF(G39=0,"",H39/G39)</f>
        <v>1.2</v>
      </c>
      <c r="M39" s="8" t="s">
        <v>22</v>
      </c>
      <c r="N39" s="10"/>
      <c r="O39" s="8" t="n">
        <v>6</v>
      </c>
      <c r="P39" s="8" t="n">
        <v>12</v>
      </c>
      <c r="Q39" s="8" t="n">
        <v>0</v>
      </c>
    </row>
    <row r="40" customFormat="false" ht="15" hidden="false" customHeight="true" outlineLevel="0" collapsed="false">
      <c r="A40" s="8" t="s">
        <v>107</v>
      </c>
      <c r="B40" s="8" t="s">
        <v>108</v>
      </c>
      <c r="C40" s="8" t="s">
        <v>64</v>
      </c>
      <c r="D40" s="9" t="s">
        <v>71</v>
      </c>
      <c r="E40" s="10" t="n">
        <v>5484367</v>
      </c>
      <c r="F40" s="8" t="s">
        <v>21</v>
      </c>
      <c r="G40" s="8" t="n">
        <v>13</v>
      </c>
      <c r="H40" s="8" t="n">
        <f aca="false">O40+P40+Q40</f>
        <v>23</v>
      </c>
      <c r="I40" s="8" t="n">
        <v>0</v>
      </c>
      <c r="J40" s="11" t="n">
        <f aca="false">IF(G40=0,"",I40/G40)</f>
        <v>0</v>
      </c>
      <c r="K40" s="12" t="n">
        <f aca="false">IF(ISNUMBER(E40),IF(E40&gt;0,G40/E40*1000000,""),"")</f>
        <v>2.37037382800969</v>
      </c>
      <c r="L40" s="12" t="n">
        <f aca="false">IF(G40=0,"",H40/G40)</f>
        <v>1.76923076923077</v>
      </c>
      <c r="M40" s="8" t="s">
        <v>22</v>
      </c>
      <c r="N40" s="10"/>
      <c r="O40" s="8" t="n">
        <v>11</v>
      </c>
      <c r="P40" s="8" t="n">
        <v>10</v>
      </c>
      <c r="Q40" s="8" t="n">
        <v>2</v>
      </c>
    </row>
    <row r="41" customFormat="false" ht="15" hidden="false" customHeight="true" outlineLevel="0" collapsed="false">
      <c r="A41" s="8" t="s">
        <v>109</v>
      </c>
      <c r="B41" s="8" t="s">
        <v>110</v>
      </c>
      <c r="C41" s="8" t="s">
        <v>64</v>
      </c>
      <c r="D41" s="9" t="s">
        <v>71</v>
      </c>
      <c r="E41" s="10" t="n">
        <v>9208163</v>
      </c>
      <c r="F41" s="8" t="s">
        <v>21</v>
      </c>
      <c r="G41" s="8" t="n">
        <v>10</v>
      </c>
      <c r="H41" s="8" t="n">
        <f aca="false">O41+P41+Q41</f>
        <v>17</v>
      </c>
      <c r="I41" s="8" t="n">
        <v>1</v>
      </c>
      <c r="J41" s="11" t="n">
        <f aca="false">IF(G41=0,"",I41/G41)</f>
        <v>0.1</v>
      </c>
      <c r="K41" s="12" t="n">
        <f aca="false">IF(ISNUMBER(E41),IF(E41&gt;0,G41/E41*1000000,""),"")</f>
        <v>1.08599293909111</v>
      </c>
      <c r="L41" s="12" t="n">
        <f aca="false">IF(G41=0,"",H41/G41)</f>
        <v>1.7</v>
      </c>
      <c r="M41" s="8" t="s">
        <v>22</v>
      </c>
      <c r="N41" s="10"/>
      <c r="O41" s="8" t="n">
        <v>6</v>
      </c>
      <c r="P41" s="8" t="n">
        <v>9</v>
      </c>
      <c r="Q41" s="8" t="n">
        <v>2</v>
      </c>
    </row>
    <row r="42" customFormat="false" ht="15" hidden="false" customHeight="true" outlineLevel="0" collapsed="false">
      <c r="A42" s="8" t="s">
        <v>111</v>
      </c>
      <c r="B42" s="8" t="s">
        <v>112</v>
      </c>
      <c r="C42" s="8" t="s">
        <v>64</v>
      </c>
      <c r="D42" s="9" t="s">
        <v>71</v>
      </c>
      <c r="E42" s="10" t="n">
        <v>58915656</v>
      </c>
      <c r="F42" s="8" t="s">
        <v>21</v>
      </c>
      <c r="G42" s="8" t="n">
        <v>10</v>
      </c>
      <c r="H42" s="8" t="n">
        <f aca="false">O42+P42+Q42</f>
        <v>18</v>
      </c>
      <c r="I42" s="8" t="n">
        <v>0</v>
      </c>
      <c r="J42" s="11" t="n">
        <f aca="false">IF(G42=0,"",I42/G42)</f>
        <v>0</v>
      </c>
      <c r="K42" s="12" t="n">
        <f aca="false">IF(ISNUMBER(E42),IF(E42&gt;0,G42/E42*1000000,""),"")</f>
        <v>0.16973417048942</v>
      </c>
      <c r="L42" s="12" t="n">
        <f aca="false">IF(G42=0,"",H42/G42)</f>
        <v>1.8</v>
      </c>
      <c r="M42" s="8" t="s">
        <v>22</v>
      </c>
      <c r="N42" s="10"/>
      <c r="O42" s="8" t="n">
        <v>6</v>
      </c>
      <c r="P42" s="8" t="n">
        <v>10</v>
      </c>
      <c r="Q42" s="8" t="n">
        <v>2</v>
      </c>
    </row>
    <row r="43" customFormat="false" ht="15" hidden="false" customHeight="true" outlineLevel="0" collapsed="false">
      <c r="A43" s="8" t="s">
        <v>113</v>
      </c>
      <c r="B43" s="8" t="s">
        <v>114</v>
      </c>
      <c r="C43" s="8" t="s">
        <v>64</v>
      </c>
      <c r="D43" s="9" t="s">
        <v>71</v>
      </c>
      <c r="E43" s="10" t="n">
        <v>5610870</v>
      </c>
      <c r="F43" s="8" t="s">
        <v>21</v>
      </c>
      <c r="G43" s="8" t="n">
        <v>10</v>
      </c>
      <c r="H43" s="8" t="n">
        <f aca="false">O43+P43+Q43</f>
        <v>14</v>
      </c>
      <c r="I43" s="8" t="n">
        <v>0</v>
      </c>
      <c r="J43" s="11" t="n">
        <f aca="false">IF(G43=0,"",I43/G43)</f>
        <v>0</v>
      </c>
      <c r="K43" s="12" t="n">
        <f aca="false">IF(ISNUMBER(E43),IF(E43&gt;0,G43/E43*1000000,""),"")</f>
        <v>1.78225480184</v>
      </c>
      <c r="L43" s="12" t="n">
        <f aca="false">IF(G43=0,"",H43/G43)</f>
        <v>1.4</v>
      </c>
      <c r="M43" s="8" t="s">
        <v>22</v>
      </c>
      <c r="N43" s="10"/>
      <c r="O43" s="8" t="n">
        <v>6</v>
      </c>
      <c r="P43" s="8" t="n">
        <v>7</v>
      </c>
      <c r="Q43" s="8" t="n">
        <v>1</v>
      </c>
    </row>
    <row r="44" customFormat="false" ht="15" hidden="false" customHeight="true" outlineLevel="0" collapsed="false">
      <c r="A44" s="8" t="s">
        <v>115</v>
      </c>
      <c r="B44" s="8" t="s">
        <v>116</v>
      </c>
      <c r="C44" s="8" t="s">
        <v>64</v>
      </c>
      <c r="D44" s="9" t="s">
        <v>71</v>
      </c>
      <c r="E44" s="10" t="n">
        <v>11941781</v>
      </c>
      <c r="F44" s="8" t="s">
        <v>21</v>
      </c>
      <c r="G44" s="8" t="n">
        <v>9</v>
      </c>
      <c r="H44" s="8" t="n">
        <f aca="false">O44+P44+Q44</f>
        <v>16</v>
      </c>
      <c r="I44" s="8" t="n">
        <v>0</v>
      </c>
      <c r="J44" s="11" t="n">
        <f aca="false">IF(G44=0,"",I44/G44)</f>
        <v>0</v>
      </c>
      <c r="K44" s="12" t="n">
        <f aca="false">IF(ISNUMBER(E44),IF(E44&gt;0,G44/E44*1000000,""),"")</f>
        <v>0.753656426960099</v>
      </c>
      <c r="L44" s="12" t="n">
        <f aca="false">IF(G44=0,"",H44/G44)</f>
        <v>1.77777777777778</v>
      </c>
      <c r="M44" s="8" t="s">
        <v>22</v>
      </c>
      <c r="N44" s="10"/>
      <c r="O44" s="8" t="n">
        <v>6</v>
      </c>
      <c r="P44" s="8" t="n">
        <v>8</v>
      </c>
      <c r="Q44" s="8" t="n">
        <v>2</v>
      </c>
    </row>
    <row r="45" customFormat="false" ht="15" hidden="false" customHeight="true" outlineLevel="0" collapsed="false">
      <c r="A45" s="8" t="s">
        <v>117</v>
      </c>
      <c r="B45" s="8" t="s">
        <v>118</v>
      </c>
      <c r="C45" s="8" t="s">
        <v>64</v>
      </c>
      <c r="D45" s="9" t="s">
        <v>71</v>
      </c>
      <c r="E45" s="10" t="n">
        <v>6009169</v>
      </c>
      <c r="F45" s="8" t="s">
        <v>21</v>
      </c>
      <c r="G45" s="8" t="n">
        <v>9</v>
      </c>
      <c r="H45" s="8" t="n">
        <f aca="false">O45+P45+Q45</f>
        <v>15</v>
      </c>
      <c r="I45" s="8" t="n">
        <v>0</v>
      </c>
      <c r="J45" s="11" t="n">
        <f aca="false">IF(G45=0,"",I45/G45)</f>
        <v>0</v>
      </c>
      <c r="K45" s="12" t="n">
        <f aca="false">IF(ISNUMBER(E45),IF(E45&gt;0,G45/E45*1000000,""),"")</f>
        <v>1.49771124759513</v>
      </c>
      <c r="L45" s="12" t="n">
        <f aca="false">IF(G45=0,"",H45/G45)</f>
        <v>1.66666666666667</v>
      </c>
      <c r="M45" s="8" t="s">
        <v>22</v>
      </c>
      <c r="N45" s="10"/>
      <c r="O45" s="8" t="n">
        <v>4</v>
      </c>
      <c r="P45" s="8" t="n">
        <v>9</v>
      </c>
      <c r="Q45" s="8" t="n">
        <v>2</v>
      </c>
    </row>
    <row r="46" customFormat="false" ht="15" hidden="false" customHeight="true" outlineLevel="0" collapsed="false">
      <c r="A46" s="8" t="s">
        <v>119</v>
      </c>
      <c r="B46" s="8" t="s">
        <v>120</v>
      </c>
      <c r="C46" s="8" t="s">
        <v>64</v>
      </c>
      <c r="D46" s="9" t="s">
        <v>71</v>
      </c>
      <c r="E46" s="10" t="n">
        <v>10413962</v>
      </c>
      <c r="F46" s="8" t="s">
        <v>21</v>
      </c>
      <c r="G46" s="8" t="n">
        <v>9</v>
      </c>
      <c r="H46" s="8" t="n">
        <f aca="false">O46+P46+Q46</f>
        <v>15</v>
      </c>
      <c r="I46" s="8" t="n">
        <v>0</v>
      </c>
      <c r="J46" s="11" t="n">
        <f aca="false">IF(G46=0,"",I46/G46)</f>
        <v>0</v>
      </c>
      <c r="K46" s="12" t="n">
        <f aca="false">IF(ISNUMBER(E46),IF(E46&gt;0,G46/E46*1000000,""),"")</f>
        <v>0.864224394135489</v>
      </c>
      <c r="L46" s="12" t="n">
        <f aca="false">IF(G46=0,"",H46/G46)</f>
        <v>1.66666666666667</v>
      </c>
      <c r="M46" s="8" t="s">
        <v>22</v>
      </c>
      <c r="N46" s="10"/>
      <c r="O46" s="8" t="n">
        <v>5</v>
      </c>
      <c r="P46" s="8" t="n">
        <v>8</v>
      </c>
      <c r="Q46" s="8" t="n">
        <v>2</v>
      </c>
    </row>
    <row r="47" customFormat="false" ht="15" hidden="false" customHeight="true" outlineLevel="0" collapsed="false">
      <c r="A47" s="8" t="s">
        <v>121</v>
      </c>
      <c r="B47" s="8" t="s">
        <v>122</v>
      </c>
      <c r="C47" s="8" t="s">
        <v>64</v>
      </c>
      <c r="D47" s="9" t="s">
        <v>71</v>
      </c>
      <c r="E47" s="10" t="n">
        <v>3876200</v>
      </c>
      <c r="F47" s="8" t="s">
        <v>21</v>
      </c>
      <c r="G47" s="8" t="n">
        <v>9</v>
      </c>
      <c r="H47" s="8" t="n">
        <f aca="false">O47+P47+Q47</f>
        <v>15</v>
      </c>
      <c r="I47" s="8" t="n">
        <v>0</v>
      </c>
      <c r="J47" s="11" t="n">
        <f aca="false">IF(G47=0,"",I47/G47)</f>
        <v>0</v>
      </c>
      <c r="K47" s="12" t="n">
        <f aca="false">IF(ISNUMBER(E47),IF(E47&gt;0,G47/E47*1000000,""),"")</f>
        <v>2.32186161704762</v>
      </c>
      <c r="L47" s="12" t="n">
        <f aca="false">IF(G47=0,"",H47/G47)</f>
        <v>1.66666666666667</v>
      </c>
      <c r="M47" s="8" t="s">
        <v>22</v>
      </c>
      <c r="N47" s="10"/>
      <c r="O47" s="8" t="n">
        <v>5</v>
      </c>
      <c r="P47" s="8" t="n">
        <v>8</v>
      </c>
      <c r="Q47" s="8" t="n">
        <v>2</v>
      </c>
    </row>
    <row r="48" customFormat="false" ht="15" hidden="false" customHeight="true" outlineLevel="0" collapsed="false">
      <c r="A48" s="8" t="s">
        <v>123</v>
      </c>
      <c r="B48" s="8" t="s">
        <v>124</v>
      </c>
      <c r="C48" s="8" t="s">
        <v>64</v>
      </c>
      <c r="D48" s="9" t="s">
        <v>71</v>
      </c>
      <c r="E48" s="10" t="n">
        <v>2888774</v>
      </c>
      <c r="F48" s="8" t="s">
        <v>21</v>
      </c>
      <c r="G48" s="8" t="n">
        <v>9</v>
      </c>
      <c r="H48" s="8" t="n">
        <f aca="false">O48+P48+Q48</f>
        <v>18</v>
      </c>
      <c r="I48" s="8" t="n">
        <v>0</v>
      </c>
      <c r="J48" s="11" t="n">
        <f aca="false">IF(G48=0,"",I48/G48)</f>
        <v>0</v>
      </c>
      <c r="K48" s="12" t="n">
        <f aca="false">IF(ISNUMBER(E48),IF(E48&gt;0,G48/E48*1000000,""),"")</f>
        <v>3.11550851676178</v>
      </c>
      <c r="L48" s="12" t="n">
        <f aca="false">IF(G48=0,"",H48/G48)</f>
        <v>2</v>
      </c>
      <c r="M48" s="8" t="s">
        <v>22</v>
      </c>
      <c r="N48" s="10"/>
      <c r="O48" s="8" t="n">
        <v>5</v>
      </c>
      <c r="P48" s="8" t="n">
        <v>11</v>
      </c>
      <c r="Q48" s="8" t="n">
        <v>2</v>
      </c>
    </row>
    <row r="49" customFormat="false" ht="15" hidden="false" customHeight="true" outlineLevel="0" collapsed="false">
      <c r="A49" s="8" t="s">
        <v>125</v>
      </c>
      <c r="B49" s="8" t="s">
        <v>126</v>
      </c>
      <c r="C49" s="8" t="s">
        <v>64</v>
      </c>
      <c r="D49" s="9" t="s">
        <v>71</v>
      </c>
      <c r="E49" s="10" t="n">
        <v>686970</v>
      </c>
      <c r="F49" s="8" t="s">
        <v>21</v>
      </c>
      <c r="G49" s="8" t="n">
        <v>9</v>
      </c>
      <c r="H49" s="8" t="n">
        <f aca="false">O49+P49+Q49</f>
        <v>17</v>
      </c>
      <c r="I49" s="8" t="n">
        <v>0</v>
      </c>
      <c r="J49" s="11" t="n">
        <f aca="false">IF(G49=0,"",I49/G49)</f>
        <v>0</v>
      </c>
      <c r="K49" s="12" t="n">
        <f aca="false">IF(ISNUMBER(E49),IF(E49&gt;0,G49/E49*1000000,""),"")</f>
        <v>13.1010087776759</v>
      </c>
      <c r="L49" s="12" t="n">
        <f aca="false">IF(G49=0,"",H49/G49)</f>
        <v>1.88888888888889</v>
      </c>
      <c r="M49" s="8" t="s">
        <v>22</v>
      </c>
      <c r="N49" s="10"/>
      <c r="O49" s="8" t="n">
        <v>5</v>
      </c>
      <c r="P49" s="8" t="n">
        <v>9</v>
      </c>
      <c r="Q49" s="8" t="n">
        <v>3</v>
      </c>
    </row>
    <row r="50" customFormat="false" ht="15" hidden="false" customHeight="true" outlineLevel="0" collapsed="false">
      <c r="A50" s="8" t="s">
        <v>127</v>
      </c>
      <c r="B50" s="8" t="s">
        <v>128</v>
      </c>
      <c r="C50" s="8" t="s">
        <v>64</v>
      </c>
      <c r="D50" s="9" t="s">
        <v>71</v>
      </c>
      <c r="E50" s="10" t="n">
        <v>10596620</v>
      </c>
      <c r="F50" s="8" t="s">
        <v>21</v>
      </c>
      <c r="G50" s="8" t="n">
        <v>9</v>
      </c>
      <c r="H50" s="8" t="n">
        <f aca="false">O50+P50+Q50</f>
        <v>17</v>
      </c>
      <c r="I50" s="8" t="n">
        <v>0</v>
      </c>
      <c r="J50" s="11" t="n">
        <f aca="false">IF(G50=0,"",I50/G50)</f>
        <v>0</v>
      </c>
      <c r="K50" s="12" t="n">
        <f aca="false">IF(ISNUMBER(E50),IF(E50&gt;0,G50/E50*1000000,""),"")</f>
        <v>0.849327427047493</v>
      </c>
      <c r="L50" s="12" t="n">
        <f aca="false">IF(G50=0,"",H50/G50)</f>
        <v>1.88888888888889</v>
      </c>
      <c r="M50" s="8" t="s">
        <v>22</v>
      </c>
      <c r="N50" s="10"/>
      <c r="O50" s="8" t="n">
        <v>5</v>
      </c>
      <c r="P50" s="8" t="n">
        <v>10</v>
      </c>
      <c r="Q50" s="8" t="n">
        <v>2</v>
      </c>
    </row>
    <row r="51" customFormat="false" ht="15" hidden="false" customHeight="true" outlineLevel="0" collapsed="false">
      <c r="A51" s="8" t="s">
        <v>129</v>
      </c>
      <c r="B51" s="8" t="s">
        <v>130</v>
      </c>
      <c r="C51" s="8" t="s">
        <v>64</v>
      </c>
      <c r="D51" s="9" t="s">
        <v>71</v>
      </c>
      <c r="E51" s="10" t="n">
        <v>1370754</v>
      </c>
      <c r="F51" s="8" t="s">
        <v>21</v>
      </c>
      <c r="G51" s="8" t="n">
        <v>8</v>
      </c>
      <c r="H51" s="8" t="n">
        <f aca="false">O51+P51+Q51</f>
        <v>14</v>
      </c>
      <c r="I51" s="8" t="n">
        <v>1</v>
      </c>
      <c r="J51" s="11" t="n">
        <f aca="false">IF(G51=0,"",I51/G51)</f>
        <v>0.125</v>
      </c>
      <c r="K51" s="12" t="n">
        <f aca="false">IF(ISNUMBER(E51),IF(E51&gt;0,G51/E51*1000000,""),"")</f>
        <v>5.83620401618379</v>
      </c>
      <c r="L51" s="12" t="n">
        <f aca="false">IF(G51=0,"",H51/G51)</f>
        <v>1.75</v>
      </c>
      <c r="M51" s="8" t="s">
        <v>22</v>
      </c>
      <c r="N51" s="10"/>
      <c r="O51" s="8" t="n">
        <v>4</v>
      </c>
      <c r="P51" s="8" t="n">
        <v>8</v>
      </c>
      <c r="Q51" s="8" t="n">
        <v>2</v>
      </c>
    </row>
    <row r="52" customFormat="false" ht="15" hidden="false" customHeight="true" outlineLevel="0" collapsed="false">
      <c r="A52" s="8" t="s">
        <v>131</v>
      </c>
      <c r="B52" s="8" t="s">
        <v>132</v>
      </c>
      <c r="C52" s="8" t="s">
        <v>64</v>
      </c>
      <c r="D52" s="9" t="s">
        <v>71</v>
      </c>
      <c r="E52" s="10" t="n">
        <v>10886878</v>
      </c>
      <c r="F52" s="8" t="s">
        <v>21</v>
      </c>
      <c r="G52" s="8" t="n">
        <v>8</v>
      </c>
      <c r="H52" s="8" t="n">
        <f aca="false">O52+P52+Q52</f>
        <v>13</v>
      </c>
      <c r="I52" s="8" t="n">
        <v>0</v>
      </c>
      <c r="J52" s="11" t="n">
        <f aca="false">IF(G52=0,"",I52/G52)</f>
        <v>0</v>
      </c>
      <c r="K52" s="12" t="n">
        <f aca="false">IF(ISNUMBER(E52),IF(E52&gt;0,G52/E52*1000000,""),"")</f>
        <v>0.734829581079167</v>
      </c>
      <c r="L52" s="12" t="n">
        <f aca="false">IF(G52=0,"",H52/G52)</f>
        <v>1.625</v>
      </c>
      <c r="M52" s="8" t="s">
        <v>22</v>
      </c>
      <c r="N52" s="10"/>
      <c r="O52" s="8" t="n">
        <v>4</v>
      </c>
      <c r="P52" s="8" t="n">
        <v>8</v>
      </c>
      <c r="Q52" s="8" t="n">
        <v>1</v>
      </c>
    </row>
    <row r="53" customFormat="false" ht="15" hidden="false" customHeight="true" outlineLevel="0" collapsed="false">
      <c r="A53" s="8" t="s">
        <v>133</v>
      </c>
      <c r="B53" s="8" t="s">
        <v>134</v>
      </c>
      <c r="C53" s="8" t="s">
        <v>64</v>
      </c>
      <c r="D53" s="9" t="s">
        <v>71</v>
      </c>
      <c r="E53" s="10" t="n">
        <v>49355143</v>
      </c>
      <c r="F53" s="8" t="s">
        <v>21</v>
      </c>
      <c r="G53" s="8" t="n">
        <v>8</v>
      </c>
      <c r="H53" s="8" t="n">
        <f aca="false">O53+P53+Q53</f>
        <v>15</v>
      </c>
      <c r="I53" s="8" t="n">
        <v>0</v>
      </c>
      <c r="J53" s="11" t="n">
        <f aca="false">IF(G53=0,"",I53/G53)</f>
        <v>0</v>
      </c>
      <c r="K53" s="12" t="n">
        <f aca="false">IF(ISNUMBER(E53),IF(E53&gt;0,G53/E53*1000000,""),"")</f>
        <v>0.162090503921749</v>
      </c>
      <c r="L53" s="12" t="n">
        <f aca="false">IF(G53=0,"",H53/G53)</f>
        <v>1.875</v>
      </c>
      <c r="M53" s="8" t="s">
        <v>22</v>
      </c>
      <c r="N53" s="10"/>
      <c r="O53" s="8" t="n">
        <v>4</v>
      </c>
      <c r="P53" s="8" t="n">
        <v>9</v>
      </c>
      <c r="Q53" s="8" t="n">
        <v>2</v>
      </c>
    </row>
    <row r="54" customFormat="false" ht="15" hidden="false" customHeight="true" outlineLevel="0" collapsed="false">
      <c r="A54" s="8" t="s">
        <v>135</v>
      </c>
      <c r="B54" s="8" t="s">
        <v>136</v>
      </c>
      <c r="C54" s="8" t="s">
        <v>64</v>
      </c>
      <c r="D54" s="9" t="s">
        <v>71</v>
      </c>
      <c r="E54" s="10" t="n">
        <v>5646436</v>
      </c>
      <c r="F54" s="8" t="s">
        <v>21</v>
      </c>
      <c r="G54" s="8" t="n">
        <v>8</v>
      </c>
      <c r="H54" s="8" t="n">
        <f aca="false">O54+P54+Q54</f>
        <v>16</v>
      </c>
      <c r="I54" s="8" t="n">
        <v>0</v>
      </c>
      <c r="J54" s="11" t="n">
        <f aca="false">IF(G54=0,"",I54/G54)</f>
        <v>0</v>
      </c>
      <c r="K54" s="12" t="n">
        <f aca="false">IF(ISNUMBER(E54),IF(E54&gt;0,G54/E54*1000000,""),"")</f>
        <v>1.41682293042904</v>
      </c>
      <c r="L54" s="12" t="n">
        <f aca="false">IF(G54=0,"",H54/G54)</f>
        <v>2</v>
      </c>
      <c r="M54" s="8" t="s">
        <v>22</v>
      </c>
      <c r="N54" s="10"/>
      <c r="O54" s="8" t="n">
        <v>6</v>
      </c>
      <c r="P54" s="8" t="n">
        <v>8</v>
      </c>
      <c r="Q54" s="8" t="n">
        <v>2</v>
      </c>
    </row>
    <row r="55" customFormat="false" ht="15" hidden="false" customHeight="true" outlineLevel="0" collapsed="false">
      <c r="A55" s="8" t="s">
        <v>137</v>
      </c>
      <c r="B55" s="8" t="s">
        <v>138</v>
      </c>
      <c r="C55" s="8" t="s">
        <v>64</v>
      </c>
      <c r="D55" s="9" t="s">
        <v>71</v>
      </c>
      <c r="E55" s="10" t="n">
        <v>9514251</v>
      </c>
      <c r="F55" s="8" t="s">
        <v>21</v>
      </c>
      <c r="G55" s="8" t="n">
        <v>8</v>
      </c>
      <c r="H55" s="8" t="n">
        <f aca="false">O55+P55+Q55</f>
        <v>14</v>
      </c>
      <c r="I55" s="8" t="n">
        <v>0</v>
      </c>
      <c r="J55" s="11" t="n">
        <f aca="false">IF(G55=0,"",I55/G55)</f>
        <v>0</v>
      </c>
      <c r="K55" s="12" t="n">
        <f aca="false">IF(ISNUMBER(E55),IF(E55&gt;0,G55/E55*1000000,""),"")</f>
        <v>0.840843908784832</v>
      </c>
      <c r="L55" s="12" t="n">
        <f aca="false">IF(G55=0,"",H55/G55)</f>
        <v>1.75</v>
      </c>
      <c r="M55" s="8" t="s">
        <v>22</v>
      </c>
      <c r="N55" s="10"/>
      <c r="O55" s="8" t="n">
        <v>4</v>
      </c>
      <c r="P55" s="8" t="n">
        <v>8</v>
      </c>
      <c r="Q55" s="8" t="n">
        <v>2</v>
      </c>
    </row>
    <row r="56" customFormat="false" ht="15" hidden="false" customHeight="true" outlineLevel="0" collapsed="false">
      <c r="A56" s="8" t="s">
        <v>139</v>
      </c>
      <c r="B56" s="8" t="s">
        <v>140</v>
      </c>
      <c r="C56" s="8" t="s">
        <v>64</v>
      </c>
      <c r="D56" s="9" t="s">
        <v>71</v>
      </c>
      <c r="E56" s="10" t="n">
        <v>1847785</v>
      </c>
      <c r="F56" s="8" t="s">
        <v>21</v>
      </c>
      <c r="G56" s="8" t="n">
        <v>8</v>
      </c>
      <c r="H56" s="8" t="n">
        <f aca="false">O56+P56+Q56</f>
        <v>15</v>
      </c>
      <c r="I56" s="8" t="n">
        <v>0</v>
      </c>
      <c r="J56" s="11" t="n">
        <f aca="false">IF(G56=0,"",I56/G56)</f>
        <v>0</v>
      </c>
      <c r="K56" s="12" t="n">
        <f aca="false">IF(ISNUMBER(E56),IF(E56&gt;0,G56/E56*1000000,""),"")</f>
        <v>4.32950803259037</v>
      </c>
      <c r="L56" s="12" t="n">
        <f aca="false">IF(G56=0,"",H56/G56)</f>
        <v>1.875</v>
      </c>
      <c r="M56" s="8" t="s">
        <v>22</v>
      </c>
      <c r="N56" s="10"/>
      <c r="O56" s="8" t="n">
        <v>4</v>
      </c>
      <c r="P56" s="8" t="n">
        <v>9</v>
      </c>
      <c r="Q56" s="8" t="n">
        <v>2</v>
      </c>
    </row>
    <row r="57" customFormat="false" ht="15" hidden="false" customHeight="true" outlineLevel="0" collapsed="false">
      <c r="A57" s="8" t="s">
        <v>141</v>
      </c>
      <c r="B57" s="8" t="s">
        <v>142</v>
      </c>
      <c r="C57" s="8" t="s">
        <v>64</v>
      </c>
      <c r="D57" s="9" t="s">
        <v>71</v>
      </c>
      <c r="E57" s="10" t="n">
        <v>579704</v>
      </c>
      <c r="F57" s="8" t="s">
        <v>21</v>
      </c>
      <c r="G57" s="8" t="n">
        <v>8</v>
      </c>
      <c r="H57" s="8" t="n">
        <f aca="false">O57+P57+Q57</f>
        <v>14</v>
      </c>
      <c r="I57" s="8" t="n">
        <v>0</v>
      </c>
      <c r="J57" s="11" t="n">
        <f aca="false">IF(G57=0,"",I57/G57)</f>
        <v>0</v>
      </c>
      <c r="K57" s="12" t="n">
        <f aca="false">IF(ISNUMBER(E57),IF(E57&gt;0,G57/E57*1000000,""),"")</f>
        <v>13.8001462815506</v>
      </c>
      <c r="L57" s="12" t="n">
        <f aca="false">IF(G57=0,"",H57/G57)</f>
        <v>1.75</v>
      </c>
      <c r="M57" s="8" t="s">
        <v>22</v>
      </c>
      <c r="N57" s="10"/>
      <c r="O57" s="8" t="n">
        <v>4</v>
      </c>
      <c r="P57" s="8" t="n">
        <v>8</v>
      </c>
      <c r="Q57" s="8" t="n">
        <v>2</v>
      </c>
    </row>
    <row r="58" customFormat="false" ht="15" hidden="false" customHeight="true" outlineLevel="0" collapsed="false">
      <c r="A58" s="8" t="s">
        <v>143</v>
      </c>
      <c r="B58" s="8" t="s">
        <v>144</v>
      </c>
      <c r="C58" s="8" t="s">
        <v>64</v>
      </c>
      <c r="D58" s="9" t="s">
        <v>71</v>
      </c>
      <c r="E58" s="10" t="n">
        <v>19020271</v>
      </c>
      <c r="F58" s="8" t="s">
        <v>21</v>
      </c>
      <c r="G58" s="8" t="n">
        <v>8</v>
      </c>
      <c r="H58" s="8" t="n">
        <f aca="false">O58+P58+Q58</f>
        <v>13</v>
      </c>
      <c r="I58" s="8" t="n">
        <v>0</v>
      </c>
      <c r="J58" s="11" t="n">
        <f aca="false">IF(G58=0,"",I58/G58)</f>
        <v>0</v>
      </c>
      <c r="K58" s="12" t="n">
        <f aca="false">IF(ISNUMBER(E58),IF(E58&gt;0,G58/E58*1000000,""),"")</f>
        <v>0.42060389150081</v>
      </c>
      <c r="L58" s="12" t="n">
        <f aca="false">IF(G58=0,"",H58/G58)</f>
        <v>1.625</v>
      </c>
      <c r="M58" s="8" t="s">
        <v>22</v>
      </c>
      <c r="N58" s="10"/>
      <c r="O58" s="8" t="n">
        <v>3</v>
      </c>
      <c r="P58" s="8" t="n">
        <v>10</v>
      </c>
      <c r="Q58" s="8" t="n">
        <v>0</v>
      </c>
    </row>
    <row r="59" customFormat="false" ht="15" hidden="false" customHeight="true" outlineLevel="0" collapsed="false">
      <c r="A59" s="8" t="s">
        <v>145</v>
      </c>
      <c r="B59" s="8" t="s">
        <v>146</v>
      </c>
      <c r="C59" s="8" t="s">
        <v>64</v>
      </c>
      <c r="D59" s="9" t="s">
        <v>71</v>
      </c>
      <c r="E59" s="10" t="n">
        <v>2130986</v>
      </c>
      <c r="F59" s="8" t="s">
        <v>21</v>
      </c>
      <c r="G59" s="8" t="n">
        <v>8</v>
      </c>
      <c r="H59" s="8" t="n">
        <f aca="false">O59+P59+Q59</f>
        <v>14</v>
      </c>
      <c r="I59" s="8" t="n">
        <v>1</v>
      </c>
      <c r="J59" s="11" t="n">
        <f aca="false">IF(G59=0,"",I59/G59)</f>
        <v>0.125</v>
      </c>
      <c r="K59" s="12" t="n">
        <f aca="false">IF(ISNUMBER(E59),IF(E59&gt;0,G59/E59*1000000,""),"")</f>
        <v>3.7541307169545</v>
      </c>
      <c r="L59" s="12" t="n">
        <f aca="false">IF(G59=0,"",H59/G59)</f>
        <v>1.75</v>
      </c>
      <c r="M59" s="8" t="s">
        <v>22</v>
      </c>
      <c r="N59" s="10"/>
      <c r="O59" s="8" t="n">
        <v>3</v>
      </c>
      <c r="P59" s="8" t="n">
        <v>9</v>
      </c>
      <c r="Q59" s="8" t="n">
        <v>2</v>
      </c>
    </row>
    <row r="60" customFormat="false" ht="15" hidden="false" customHeight="true" outlineLevel="0" collapsed="false">
      <c r="A60" s="8" t="s">
        <v>147</v>
      </c>
      <c r="B60" s="8" t="s">
        <v>148</v>
      </c>
      <c r="C60" s="8" t="s">
        <v>64</v>
      </c>
      <c r="D60" s="9" t="s">
        <v>71</v>
      </c>
      <c r="E60" s="10" t="n">
        <v>5413813</v>
      </c>
      <c r="F60" s="8" t="s">
        <v>21</v>
      </c>
      <c r="G60" s="8" t="n">
        <v>8</v>
      </c>
      <c r="H60" s="8" t="n">
        <f aca="false">O60+P60+Q60</f>
        <v>15</v>
      </c>
      <c r="I60" s="8" t="n">
        <v>0</v>
      </c>
      <c r="J60" s="11" t="n">
        <f aca="false">IF(G60=0,"",I60/G60)</f>
        <v>0</v>
      </c>
      <c r="K60" s="12" t="n">
        <f aca="false">IF(ISNUMBER(E60),IF(E60&gt;0,G60/E60*1000000,""),"")</f>
        <v>1.47770157558083</v>
      </c>
      <c r="L60" s="12" t="n">
        <f aca="false">IF(G60=0,"",H60/G60)</f>
        <v>1.875</v>
      </c>
      <c r="M60" s="8" t="s">
        <v>22</v>
      </c>
      <c r="N60" s="10"/>
      <c r="O60" s="8" t="n">
        <v>4</v>
      </c>
      <c r="P60" s="8" t="n">
        <v>9</v>
      </c>
      <c r="Q60" s="8" t="n">
        <v>2</v>
      </c>
    </row>
    <row r="61" customFormat="false" ht="15" hidden="false" customHeight="true" outlineLevel="0" collapsed="false">
      <c r="A61" s="8" t="s">
        <v>149</v>
      </c>
      <c r="B61" s="8" t="s">
        <v>150</v>
      </c>
      <c r="C61" s="8" t="s">
        <v>64</v>
      </c>
      <c r="D61" s="9" t="s">
        <v>71</v>
      </c>
      <c r="E61" s="10" t="n">
        <v>6433302</v>
      </c>
      <c r="F61" s="8" t="s">
        <v>21</v>
      </c>
      <c r="G61" s="8" t="n">
        <v>7</v>
      </c>
      <c r="H61" s="8" t="n">
        <f aca="false">O61+P61+Q61</f>
        <v>14</v>
      </c>
      <c r="I61" s="8" t="n">
        <v>0</v>
      </c>
      <c r="J61" s="11" t="n">
        <f aca="false">IF(G61=0,"",I61/G61)</f>
        <v>0</v>
      </c>
      <c r="K61" s="12" t="n">
        <f aca="false">IF(ISNUMBER(E61),IF(E61&gt;0,G61/E61*1000000,""),"")</f>
        <v>1.08808820105134</v>
      </c>
      <c r="L61" s="12" t="n">
        <f aca="false">IF(G61=0,"",H61/G61)</f>
        <v>2</v>
      </c>
      <c r="M61" s="8" t="s">
        <v>22</v>
      </c>
      <c r="N61" s="10"/>
      <c r="O61" s="8" t="n">
        <v>4</v>
      </c>
      <c r="P61" s="8" t="n">
        <v>8</v>
      </c>
      <c r="Q61" s="8" t="n">
        <v>2</v>
      </c>
    </row>
    <row r="62" customFormat="false" ht="15" hidden="false" customHeight="true" outlineLevel="0" collapsed="false">
      <c r="A62" s="8" t="s">
        <v>151</v>
      </c>
      <c r="B62" s="8" t="s">
        <v>152</v>
      </c>
      <c r="C62" s="8" t="s">
        <v>64</v>
      </c>
      <c r="D62" s="9" t="s">
        <v>71</v>
      </c>
      <c r="E62" s="10" t="n">
        <v>1366475</v>
      </c>
      <c r="F62" s="8" t="s">
        <v>21</v>
      </c>
      <c r="G62" s="8" t="n">
        <v>7</v>
      </c>
      <c r="H62" s="8" t="n">
        <f aca="false">O62+P62+Q62</f>
        <v>15</v>
      </c>
      <c r="I62" s="8" t="n">
        <v>0</v>
      </c>
      <c r="J62" s="11" t="n">
        <f aca="false">IF(G62=0,"",I62/G62)</f>
        <v>0</v>
      </c>
      <c r="K62" s="12" t="n">
        <f aca="false">IF(ISNUMBER(E62),IF(E62&gt;0,G62/E62*1000000,""),"")</f>
        <v>5.12266964269379</v>
      </c>
      <c r="L62" s="12" t="n">
        <f aca="false">IF(G62=0,"",H62/G62)</f>
        <v>2.14285714285714</v>
      </c>
      <c r="M62" s="8" t="s">
        <v>22</v>
      </c>
      <c r="N62" s="10"/>
      <c r="O62" s="8" t="n">
        <v>5</v>
      </c>
      <c r="P62" s="8" t="n">
        <v>8</v>
      </c>
      <c r="Q62" s="8" t="n">
        <v>2</v>
      </c>
    </row>
    <row r="63" customFormat="false" ht="15" hidden="false" customHeight="true" outlineLevel="0" collapsed="false">
      <c r="A63" s="8" t="s">
        <v>153</v>
      </c>
      <c r="B63" s="8" t="s">
        <v>154</v>
      </c>
      <c r="C63" s="8" t="s">
        <v>64</v>
      </c>
      <c r="D63" s="9" t="s">
        <v>71</v>
      </c>
      <c r="E63" s="10" t="n">
        <v>392404</v>
      </c>
      <c r="F63" s="8" t="s">
        <v>21</v>
      </c>
      <c r="G63" s="8" t="n">
        <v>7</v>
      </c>
      <c r="H63" s="8" t="n">
        <f aca="false">O63+P63+Q63</f>
        <v>9</v>
      </c>
      <c r="I63" s="8" t="n">
        <v>1</v>
      </c>
      <c r="J63" s="11" t="n">
        <f aca="false">IF(G63=0,"",I63/G63)</f>
        <v>0.142857142857143</v>
      </c>
      <c r="K63" s="12" t="n">
        <f aca="false">IF(ISNUMBER(E63),IF(E63&gt;0,G63/E63*1000000,""),"")</f>
        <v>17.8387580146991</v>
      </c>
      <c r="L63" s="12" t="n">
        <f aca="false">IF(G63=0,"",H63/G63)</f>
        <v>1.28571428571429</v>
      </c>
      <c r="M63" s="8" t="s">
        <v>22</v>
      </c>
      <c r="N63" s="10"/>
      <c r="O63" s="8" t="n">
        <v>3</v>
      </c>
      <c r="P63" s="8" t="n">
        <v>5</v>
      </c>
      <c r="Q63" s="8" t="n">
        <v>1</v>
      </c>
    </row>
    <row r="64" customFormat="false" ht="15" hidden="false" customHeight="true" outlineLevel="0" collapsed="false">
      <c r="A64" s="8" t="s">
        <v>155</v>
      </c>
      <c r="B64" s="8" t="s">
        <v>156</v>
      </c>
      <c r="C64" s="8" t="s">
        <v>64</v>
      </c>
      <c r="D64" s="9" t="s">
        <v>71</v>
      </c>
      <c r="E64" s="10" t="n">
        <v>10804871</v>
      </c>
      <c r="F64" s="8" t="s">
        <v>21</v>
      </c>
      <c r="G64" s="8" t="n">
        <v>6</v>
      </c>
      <c r="H64" s="8" t="n">
        <f aca="false">O64+P64+Q64</f>
        <v>12</v>
      </c>
      <c r="I64" s="8" t="n">
        <v>0</v>
      </c>
      <c r="J64" s="11" t="n">
        <f aca="false">IF(G64=0,"",I64/G64)</f>
        <v>0</v>
      </c>
      <c r="K64" s="12" t="n">
        <f aca="false">IF(ISNUMBER(E64),IF(E64&gt;0,G64/E64*1000000,""),"")</f>
        <v>0.555305102670823</v>
      </c>
      <c r="L64" s="12" t="n">
        <f aca="false">IF(G64=0,"",H64/G64)</f>
        <v>2</v>
      </c>
      <c r="M64" s="8" t="s">
        <v>22</v>
      </c>
      <c r="N64" s="10"/>
      <c r="O64" s="8" t="n">
        <v>3</v>
      </c>
      <c r="P64" s="8" t="n">
        <v>7</v>
      </c>
      <c r="Q64" s="8" t="n">
        <v>2</v>
      </c>
    </row>
    <row r="65" customFormat="false" ht="15" hidden="false" customHeight="true" outlineLevel="0" collapsed="false">
      <c r="A65" s="8" t="s">
        <v>157</v>
      </c>
      <c r="B65" s="8" t="s">
        <v>158</v>
      </c>
      <c r="C65" s="8" t="s">
        <v>64</v>
      </c>
      <c r="D65" s="9" t="s">
        <v>71</v>
      </c>
      <c r="E65" s="10" t="n">
        <v>9092436</v>
      </c>
      <c r="F65" s="8" t="s">
        <v>21</v>
      </c>
      <c r="G65" s="8" t="n">
        <v>4</v>
      </c>
      <c r="H65" s="8" t="n">
        <f aca="false">O65+P65+Q65</f>
        <v>7</v>
      </c>
      <c r="I65" s="8" t="n">
        <v>0</v>
      </c>
      <c r="J65" s="11" t="n">
        <f aca="false">IF(G65=0,"",I65/G65)</f>
        <v>0</v>
      </c>
      <c r="K65" s="12" t="n">
        <f aca="false">IF(ISNUMBER(E65),IF(E65&gt;0,G65/E65*1000000,""),"")</f>
        <v>0.439926110010563</v>
      </c>
      <c r="L65" s="12" t="n">
        <f aca="false">IF(G65=0,"",H65/G65)</f>
        <v>1.75</v>
      </c>
      <c r="M65" s="8" t="s">
        <v>22</v>
      </c>
      <c r="N65" s="10"/>
      <c r="O65" s="8" t="n">
        <v>2</v>
      </c>
      <c r="P65" s="8" t="n">
        <v>4</v>
      </c>
      <c r="Q65" s="8" t="n">
        <v>1</v>
      </c>
    </row>
    <row r="66" customFormat="false" ht="15" hidden="false" customHeight="true" outlineLevel="0" collapsed="false">
      <c r="A66" s="8" t="s">
        <v>159</v>
      </c>
      <c r="B66" s="8" t="s">
        <v>160</v>
      </c>
      <c r="C66" s="8" t="s">
        <v>25</v>
      </c>
      <c r="D66" s="9" t="s">
        <v>71</v>
      </c>
      <c r="E66" s="10" t="n">
        <v>5152950</v>
      </c>
      <c r="F66" s="8" t="s">
        <v>21</v>
      </c>
      <c r="G66" s="8" t="n">
        <v>4</v>
      </c>
      <c r="H66" s="8" t="n">
        <f aca="false">O66+P66+Q66</f>
        <v>8</v>
      </c>
      <c r="I66" s="8" t="n">
        <v>0</v>
      </c>
      <c r="J66" s="11" t="n">
        <f aca="false">IF(G66=0,"",I66/G66)</f>
        <v>0</v>
      </c>
      <c r="K66" s="12" t="n">
        <f aca="false">IF(ISNUMBER(E66),IF(E66&gt;0,G66/E66*1000000,""),"")</f>
        <v>0.776254378559854</v>
      </c>
      <c r="L66" s="12" t="n">
        <f aca="false">IF(G66=0,"",H66/G66)</f>
        <v>2</v>
      </c>
      <c r="M66" s="8" t="s">
        <v>22</v>
      </c>
      <c r="N66" s="10"/>
      <c r="O66" s="8" t="n">
        <v>0</v>
      </c>
      <c r="P66" s="8" t="n">
        <v>8</v>
      </c>
      <c r="Q66" s="8" t="n">
        <v>0</v>
      </c>
    </row>
    <row r="67" customFormat="false" ht="15" hidden="false" customHeight="true" outlineLevel="0" collapsed="false">
      <c r="A67" s="8" t="s">
        <v>161</v>
      </c>
      <c r="B67" s="8" t="s">
        <v>162</v>
      </c>
      <c r="C67" s="8" t="s">
        <v>53</v>
      </c>
      <c r="D67" s="9" t="s">
        <v>71</v>
      </c>
      <c r="E67" s="10" t="n">
        <v>4865298</v>
      </c>
      <c r="F67" s="8" t="s">
        <v>21</v>
      </c>
      <c r="G67" s="8" t="n">
        <v>4</v>
      </c>
      <c r="H67" s="8" t="n">
        <f aca="false">O67+P67+Q67</f>
        <v>4</v>
      </c>
      <c r="I67" s="8" t="n">
        <v>1</v>
      </c>
      <c r="J67" s="11" t="n">
        <f aca="false">IF(G67=0,"",I67/G67)</f>
        <v>0.25</v>
      </c>
      <c r="K67" s="12" t="n">
        <f aca="false">IF(ISNUMBER(E67),IF(E67&gt;0,G67/E67*1000000,""),"")</f>
        <v>0.822149023554159</v>
      </c>
      <c r="L67" s="12" t="n">
        <f aca="false">IF(G67=0,"",H67/G67)</f>
        <v>1</v>
      </c>
      <c r="M67" s="8" t="s">
        <v>22</v>
      </c>
      <c r="N67" s="10"/>
      <c r="O67" s="8" t="n">
        <v>0</v>
      </c>
      <c r="P67" s="8" t="n">
        <v>4</v>
      </c>
      <c r="Q67" s="8" t="n">
        <v>0</v>
      </c>
    </row>
    <row r="68" customFormat="false" ht="15" hidden="false" customHeight="true" outlineLevel="0" collapsed="false">
      <c r="A68" s="8" t="s">
        <v>163</v>
      </c>
      <c r="B68" s="8" t="s">
        <v>164</v>
      </c>
      <c r="C68" s="8" t="s">
        <v>25</v>
      </c>
      <c r="D68" s="9" t="s">
        <v>71</v>
      </c>
      <c r="E68" s="10" t="n">
        <v>4571189</v>
      </c>
      <c r="F68" s="8" t="s">
        <v>21</v>
      </c>
      <c r="G68" s="8" t="n">
        <v>4</v>
      </c>
      <c r="H68" s="8" t="n">
        <f aca="false">O68+P68+Q68</f>
        <v>6</v>
      </c>
      <c r="I68" s="8" t="n">
        <v>0</v>
      </c>
      <c r="J68" s="11" t="n">
        <f aca="false">IF(G68=0,"",I68/G68)</f>
        <v>0</v>
      </c>
      <c r="K68" s="12" t="n">
        <f aca="false">IF(ISNUMBER(E68),IF(E68&gt;0,G68/E68*1000000,""),"")</f>
        <v>0.875045857871989</v>
      </c>
      <c r="L68" s="12" t="n">
        <f aca="false">IF(G68=0,"",H68/G68)</f>
        <v>1.5</v>
      </c>
      <c r="M68" s="8" t="s">
        <v>22</v>
      </c>
      <c r="N68" s="10"/>
      <c r="O68" s="8" t="n">
        <v>0</v>
      </c>
      <c r="P68" s="8" t="n">
        <v>6</v>
      </c>
      <c r="Q68" s="8" t="n">
        <v>0</v>
      </c>
    </row>
    <row r="69" customFormat="false" ht="15" hidden="false" customHeight="true" outlineLevel="0" collapsed="false">
      <c r="A69" s="8" t="s">
        <v>165</v>
      </c>
      <c r="B69" s="8" t="s">
        <v>166</v>
      </c>
      <c r="C69" s="8" t="s">
        <v>29</v>
      </c>
      <c r="D69" s="9" t="s">
        <v>71</v>
      </c>
      <c r="E69" s="10" t="n">
        <v>122730</v>
      </c>
      <c r="F69" s="8" t="s">
        <v>21</v>
      </c>
      <c r="G69" s="8" t="n">
        <v>4</v>
      </c>
      <c r="H69" s="8" t="n">
        <f aca="false">O69+P69+Q69</f>
        <v>0</v>
      </c>
      <c r="I69" s="8" t="n">
        <v>4</v>
      </c>
      <c r="J69" s="11" t="n">
        <f aca="false">IF(G69=0,"",I69/G69)</f>
        <v>1</v>
      </c>
      <c r="K69" s="12" t="n">
        <f aca="false">IF(ISNUMBER(E69),IF(E69&gt;0,G69/E69*1000000,""),"")</f>
        <v>32.591868328852</v>
      </c>
      <c r="L69" s="12" t="n">
        <f aca="false">IF(G69=0,"",H69/G69)</f>
        <v>0</v>
      </c>
      <c r="M69" s="8" t="s">
        <v>22</v>
      </c>
      <c r="N69" s="10"/>
      <c r="O69" s="8" t="n">
        <v>0</v>
      </c>
      <c r="P69" s="8" t="n">
        <v>0</v>
      </c>
      <c r="Q69" s="8" t="n">
        <v>0</v>
      </c>
    </row>
    <row r="70" customFormat="false" ht="15" hidden="false" customHeight="true" outlineLevel="0" collapsed="false">
      <c r="A70" s="8" t="s">
        <v>167</v>
      </c>
      <c r="B70" s="8" t="s">
        <v>168</v>
      </c>
      <c r="C70" s="8" t="s">
        <v>53</v>
      </c>
      <c r="D70" s="9" t="s">
        <v>71</v>
      </c>
      <c r="E70" s="10" t="n">
        <v>1600366</v>
      </c>
      <c r="F70" s="8" t="s">
        <v>21</v>
      </c>
      <c r="G70" s="8" t="n">
        <v>3</v>
      </c>
      <c r="H70" s="8" t="n">
        <f aca="false">O70+P70+Q70</f>
        <v>6</v>
      </c>
      <c r="I70" s="8" t="n">
        <v>0</v>
      </c>
      <c r="J70" s="11" t="n">
        <f aca="false">IF(G70=0,"",I70/G70)</f>
        <v>0</v>
      </c>
      <c r="K70" s="12" t="n">
        <f aca="false">IF(ISNUMBER(E70),IF(E70&gt;0,G70/E70*1000000,""),"")</f>
        <v>1.87457119183987</v>
      </c>
      <c r="L70" s="12" t="n">
        <f aca="false">IF(G70=0,"",H70/G70)</f>
        <v>2</v>
      </c>
      <c r="M70" s="8" t="s">
        <v>22</v>
      </c>
      <c r="N70" s="10"/>
      <c r="O70" s="8" t="n">
        <v>0</v>
      </c>
      <c r="P70" s="8" t="n">
        <v>6</v>
      </c>
      <c r="Q70" s="8" t="n">
        <v>0</v>
      </c>
    </row>
    <row r="71" customFormat="false" ht="15" hidden="false" customHeight="true" outlineLevel="0" collapsed="false">
      <c r="A71" s="8" t="s">
        <v>169</v>
      </c>
      <c r="B71" s="8" t="s">
        <v>170</v>
      </c>
      <c r="C71" s="8" t="s">
        <v>19</v>
      </c>
      <c r="D71" s="9" t="s">
        <v>71</v>
      </c>
      <c r="E71" s="10" t="n">
        <v>466330</v>
      </c>
      <c r="F71" s="8" t="s">
        <v>21</v>
      </c>
      <c r="G71" s="8" t="n">
        <v>3</v>
      </c>
      <c r="H71" s="8" t="n">
        <f aca="false">O71+P71+Q71</f>
        <v>6</v>
      </c>
      <c r="I71" s="8" t="n">
        <v>1</v>
      </c>
      <c r="J71" s="11" t="n">
        <f aca="false">IF(G71=0,"",I71/G71)</f>
        <v>0.333333333333333</v>
      </c>
      <c r="K71" s="12" t="n">
        <f aca="false">IF(ISNUMBER(E71),IF(E71&gt;0,G71/E71*1000000,""),"")</f>
        <v>6.43321253189801</v>
      </c>
      <c r="L71" s="12" t="n">
        <f aca="false">IF(G71=0,"",H71/G71)</f>
        <v>2</v>
      </c>
      <c r="M71" s="8" t="s">
        <v>22</v>
      </c>
      <c r="N71" s="10"/>
      <c r="O71" s="8" t="n">
        <v>0</v>
      </c>
      <c r="P71" s="8" t="n">
        <v>6</v>
      </c>
      <c r="Q71" s="8" t="n">
        <v>0</v>
      </c>
    </row>
    <row r="72" customFormat="false" ht="15" hidden="false" customHeight="true" outlineLevel="0" collapsed="false">
      <c r="A72" s="8" t="s">
        <v>171</v>
      </c>
      <c r="B72" s="8" t="s">
        <v>172</v>
      </c>
      <c r="C72" s="8" t="s">
        <v>25</v>
      </c>
      <c r="D72" s="9" t="s">
        <v>71</v>
      </c>
      <c r="E72" s="10" t="n">
        <v>403033</v>
      </c>
      <c r="F72" s="8" t="s">
        <v>21</v>
      </c>
      <c r="G72" s="8" t="n">
        <v>3</v>
      </c>
      <c r="H72" s="8" t="n">
        <f aca="false">O72+P72+Q72</f>
        <v>4</v>
      </c>
      <c r="I72" s="8" t="n">
        <v>1</v>
      </c>
      <c r="J72" s="11" t="n">
        <f aca="false">IF(G72=0,"",I72/G72)</f>
        <v>0.333333333333333</v>
      </c>
      <c r="K72" s="12" t="n">
        <f aca="false">IF(ISNUMBER(E72),IF(E72&gt;0,G72/E72*1000000,""),"")</f>
        <v>7.44355921227294</v>
      </c>
      <c r="L72" s="12" t="n">
        <f aca="false">IF(G72=0,"",H72/G72)</f>
        <v>1.33333333333333</v>
      </c>
      <c r="M72" s="8" t="s">
        <v>22</v>
      </c>
      <c r="N72" s="10"/>
      <c r="O72" s="8" t="n">
        <v>0</v>
      </c>
      <c r="P72" s="8" t="n">
        <v>4</v>
      </c>
      <c r="Q72" s="8" t="n">
        <v>0</v>
      </c>
    </row>
    <row r="73" customFormat="false" ht="15" hidden="false" customHeight="true" outlineLevel="0" collapsed="false">
      <c r="A73" s="8" t="s">
        <v>173</v>
      </c>
      <c r="B73" s="8" t="s">
        <v>174</v>
      </c>
      <c r="C73" s="8" t="s">
        <v>53</v>
      </c>
      <c r="D73" s="9" t="s">
        <v>71</v>
      </c>
      <c r="E73" s="10" t="n">
        <v>5494691</v>
      </c>
      <c r="F73" s="8" t="s">
        <v>21</v>
      </c>
      <c r="G73" s="8" t="n">
        <v>3</v>
      </c>
      <c r="H73" s="8" t="n">
        <f aca="false">O73+P73+Q73</f>
        <v>4</v>
      </c>
      <c r="I73" s="8" t="n">
        <v>1</v>
      </c>
      <c r="J73" s="11" t="n">
        <f aca="false">IF(G73=0,"",I73/G73)</f>
        <v>0.333333333333333</v>
      </c>
      <c r="K73" s="12" t="n">
        <f aca="false">IF(ISNUMBER(E73),IF(E73&gt;0,G73/E73*1000000,""),"")</f>
        <v>0.54598156657035</v>
      </c>
      <c r="L73" s="12" t="n">
        <f aca="false">IF(G73=0,"",H73/G73)</f>
        <v>1.33333333333333</v>
      </c>
      <c r="M73" s="8" t="s">
        <v>22</v>
      </c>
      <c r="N73" s="10"/>
      <c r="O73" s="8" t="n">
        <v>0</v>
      </c>
      <c r="P73" s="8" t="n">
        <v>4</v>
      </c>
      <c r="Q73" s="8" t="n">
        <v>0</v>
      </c>
    </row>
    <row r="74" customFormat="false" ht="15" hidden="false" customHeight="true" outlineLevel="0" collapsed="false">
      <c r="A74" s="8" t="s">
        <v>175</v>
      </c>
      <c r="B74" s="8" t="s">
        <v>176</v>
      </c>
      <c r="C74" s="8" t="s">
        <v>25</v>
      </c>
      <c r="D74" s="9" t="s">
        <v>71</v>
      </c>
      <c r="E74" s="10" t="n">
        <v>1367764</v>
      </c>
      <c r="F74" s="8" t="s">
        <v>21</v>
      </c>
      <c r="G74" s="8" t="n">
        <v>3</v>
      </c>
      <c r="H74" s="8" t="n">
        <f aca="false">O74+P74+Q74</f>
        <v>4</v>
      </c>
      <c r="I74" s="8" t="n">
        <v>1</v>
      </c>
      <c r="J74" s="11" t="n">
        <f aca="false">IF(G74=0,"",I74/G74)</f>
        <v>0.333333333333333</v>
      </c>
      <c r="K74" s="12" t="n">
        <f aca="false">IF(ISNUMBER(E74),IF(E74&gt;0,G74/E74*1000000,""),"")</f>
        <v>2.19336084295244</v>
      </c>
      <c r="L74" s="12" t="n">
        <f aca="false">IF(G74=0,"",H74/G74)</f>
        <v>1.33333333333333</v>
      </c>
      <c r="M74" s="8" t="s">
        <v>22</v>
      </c>
      <c r="N74" s="10"/>
      <c r="O74" s="8" t="n">
        <v>0</v>
      </c>
      <c r="P74" s="8" t="n">
        <v>4</v>
      </c>
      <c r="Q74" s="8" t="n">
        <v>0</v>
      </c>
    </row>
    <row r="75" customFormat="false" ht="15" hidden="false" customHeight="true" outlineLevel="0" collapsed="false">
      <c r="A75" s="8" t="s">
        <v>177</v>
      </c>
      <c r="B75" s="8" t="s">
        <v>178</v>
      </c>
      <c r="C75" s="8" t="s">
        <v>25</v>
      </c>
      <c r="D75" s="9" t="s">
        <v>71</v>
      </c>
      <c r="E75" s="10" t="n">
        <v>282623</v>
      </c>
      <c r="F75" s="8" t="s">
        <v>21</v>
      </c>
      <c r="G75" s="8" t="n">
        <v>2</v>
      </c>
      <c r="H75" s="8" t="n">
        <f aca="false">O75+P75+Q75</f>
        <v>2</v>
      </c>
      <c r="I75" s="8" t="n">
        <v>1</v>
      </c>
      <c r="J75" s="11" t="n">
        <f aca="false">IF(G75=0,"",I75/G75)</f>
        <v>0.5</v>
      </c>
      <c r="K75" s="12" t="n">
        <f aca="false">IF(ISNUMBER(E75),IF(E75&gt;0,G75/E75*1000000,""),"")</f>
        <v>7.07656489386922</v>
      </c>
      <c r="L75" s="12" t="n">
        <f aca="false">IF(G75=0,"",H75/G75)</f>
        <v>1</v>
      </c>
      <c r="M75" s="8" t="s">
        <v>22</v>
      </c>
      <c r="N75" s="10"/>
      <c r="O75" s="8" t="n">
        <v>0</v>
      </c>
      <c r="P75" s="8" t="n">
        <v>2</v>
      </c>
      <c r="Q75" s="8" t="n">
        <v>0</v>
      </c>
    </row>
    <row r="76" customFormat="false" ht="15" hidden="false" customHeight="true" outlineLevel="0" collapsed="false">
      <c r="A76" s="8" t="s">
        <v>179</v>
      </c>
      <c r="B76" s="8" t="s">
        <v>180</v>
      </c>
      <c r="C76" s="8" t="s">
        <v>64</v>
      </c>
      <c r="D76" s="9" t="s">
        <v>71</v>
      </c>
      <c r="E76" s="10" t="n">
        <v>56831</v>
      </c>
      <c r="F76" s="8" t="s">
        <v>21</v>
      </c>
      <c r="G76" s="8" t="n">
        <v>2</v>
      </c>
      <c r="H76" s="8" t="n">
        <f aca="false">O76+P76+Q76</f>
        <v>1</v>
      </c>
      <c r="I76" s="8" t="n">
        <v>0</v>
      </c>
      <c r="J76" s="11" t="n">
        <f aca="false">IF(G76=0,"",I76/G76)</f>
        <v>0</v>
      </c>
      <c r="K76" s="12" t="n">
        <f aca="false">IF(ISNUMBER(E76),IF(E76&gt;0,G76/E76*1000000,""),"")</f>
        <v>35.1920606711126</v>
      </c>
      <c r="L76" s="12" t="n">
        <f aca="false">IF(G76=0,"",H76/G76)</f>
        <v>0.5</v>
      </c>
      <c r="M76" s="8" t="s">
        <v>22</v>
      </c>
      <c r="N76" s="10"/>
      <c r="O76" s="8" t="n">
        <v>1</v>
      </c>
      <c r="P76" s="8" t="n">
        <v>0</v>
      </c>
      <c r="Q76" s="8" t="n">
        <v>0</v>
      </c>
    </row>
    <row r="77" customFormat="false" ht="15" hidden="false" customHeight="true" outlineLevel="0" collapsed="false">
      <c r="A77" s="8" t="s">
        <v>181</v>
      </c>
      <c r="B77" s="8" t="s">
        <v>182</v>
      </c>
      <c r="C77" s="8" t="s">
        <v>25</v>
      </c>
      <c r="D77" s="9" t="s">
        <v>71</v>
      </c>
      <c r="E77" s="10" t="n">
        <v>3184835</v>
      </c>
      <c r="F77" s="8" t="s">
        <v>21</v>
      </c>
      <c r="G77" s="8" t="n">
        <v>2</v>
      </c>
      <c r="H77" s="8" t="n">
        <f aca="false">O77+P77+Q77</f>
        <v>5</v>
      </c>
      <c r="I77" s="8" t="n">
        <v>1</v>
      </c>
      <c r="J77" s="11" t="n">
        <f aca="false">IF(G77=0,"",I77/G77)</f>
        <v>0.5</v>
      </c>
      <c r="K77" s="12" t="n">
        <f aca="false">IF(ISNUMBER(E77),IF(E77&gt;0,G77/E77*1000000,""),"")</f>
        <v>0.627976017595888</v>
      </c>
      <c r="L77" s="12" t="n">
        <f aca="false">IF(G77=0,"",H77/G77)</f>
        <v>2.5</v>
      </c>
      <c r="M77" s="8" t="s">
        <v>22</v>
      </c>
      <c r="N77" s="10"/>
      <c r="O77" s="8" t="n">
        <v>0</v>
      </c>
      <c r="P77" s="8" t="n">
        <v>5</v>
      </c>
      <c r="Q77" s="8" t="n">
        <v>0</v>
      </c>
    </row>
    <row r="78" customFormat="false" ht="15" hidden="false" customHeight="true" outlineLevel="0" collapsed="false">
      <c r="A78" s="8" t="s">
        <v>183</v>
      </c>
      <c r="B78" s="8" t="s">
        <v>184</v>
      </c>
      <c r="C78" s="8" t="s">
        <v>92</v>
      </c>
      <c r="D78" s="9" t="s">
        <v>71</v>
      </c>
      <c r="E78" s="10" t="n">
        <v>17663</v>
      </c>
      <c r="F78" s="8" t="s">
        <v>21</v>
      </c>
      <c r="G78" s="8" t="n">
        <v>2</v>
      </c>
      <c r="H78" s="8" t="n">
        <f aca="false">O78+P78+Q78</f>
        <v>3</v>
      </c>
      <c r="I78" s="8" t="n">
        <v>0</v>
      </c>
      <c r="J78" s="11" t="n">
        <f aca="false">IF(G78=0,"",I78/G78)</f>
        <v>0</v>
      </c>
      <c r="K78" s="12" t="n">
        <f aca="false">IF(ISNUMBER(E78),IF(E78&gt;0,G78/E78*1000000,""),"")</f>
        <v>113.231047953349</v>
      </c>
      <c r="L78" s="12" t="n">
        <f aca="false">IF(G78=0,"",H78/G78)</f>
        <v>1.5</v>
      </c>
      <c r="M78" s="8" t="s">
        <v>22</v>
      </c>
      <c r="N78" s="10"/>
      <c r="O78" s="8" t="n">
        <v>0</v>
      </c>
      <c r="P78" s="8" t="n">
        <v>3</v>
      </c>
      <c r="Q78" s="8" t="n">
        <v>0</v>
      </c>
    </row>
    <row r="79" customFormat="false" ht="15" hidden="false" customHeight="true" outlineLevel="0" collapsed="false">
      <c r="A79" s="8" t="s">
        <v>185</v>
      </c>
      <c r="B79" s="8" t="s">
        <v>186</v>
      </c>
      <c r="C79" s="8" t="s">
        <v>53</v>
      </c>
      <c r="D79" s="9" t="s">
        <v>71</v>
      </c>
      <c r="E79" s="10" t="n">
        <v>2972215</v>
      </c>
      <c r="F79" s="8" t="s">
        <v>21</v>
      </c>
      <c r="G79" s="8" t="n">
        <v>2</v>
      </c>
      <c r="H79" s="8" t="n">
        <f aca="false">O79+P79+Q79</f>
        <v>1</v>
      </c>
      <c r="I79" s="8" t="n">
        <v>1</v>
      </c>
      <c r="J79" s="11" t="n">
        <f aca="false">IF(G79=0,"",I79/G79)</f>
        <v>0.5</v>
      </c>
      <c r="K79" s="12" t="n">
        <f aca="false">IF(ISNUMBER(E79),IF(E79&gt;0,G79/E79*1000000,""),"")</f>
        <v>0.672898831342955</v>
      </c>
      <c r="L79" s="12" t="n">
        <f aca="false">IF(G79=0,"",H79/G79)</f>
        <v>0.5</v>
      </c>
      <c r="M79" s="8" t="s">
        <v>22</v>
      </c>
      <c r="N79" s="10"/>
      <c r="O79" s="8" t="n">
        <v>0</v>
      </c>
      <c r="P79" s="8" t="n">
        <v>1</v>
      </c>
      <c r="Q79" s="8" t="n">
        <v>0</v>
      </c>
    </row>
    <row r="80" customFormat="false" ht="15" hidden="false" customHeight="true" outlineLevel="0" collapsed="false">
      <c r="A80" s="8" t="s">
        <v>187</v>
      </c>
      <c r="B80" s="8" t="s">
        <v>188</v>
      </c>
      <c r="C80" s="8" t="s">
        <v>64</v>
      </c>
      <c r="D80" s="9" t="s">
        <v>71</v>
      </c>
      <c r="E80" s="10" t="n">
        <v>82904</v>
      </c>
      <c r="F80" s="8" t="s">
        <v>21</v>
      </c>
      <c r="G80" s="8" t="n">
        <v>1</v>
      </c>
      <c r="H80" s="8" t="n">
        <f aca="false">O80+P80+Q80</f>
        <v>1</v>
      </c>
      <c r="I80" s="8" t="n">
        <v>0</v>
      </c>
      <c r="J80" s="11" t="n">
        <f aca="false">IF(G80=0,"",I80/G80)</f>
        <v>0</v>
      </c>
      <c r="K80" s="12" t="n">
        <f aca="false">IF(ISNUMBER(E80),IF(E80&gt;0,G80/E80*1000000,""),"")</f>
        <v>12.0621441667471</v>
      </c>
      <c r="L80" s="12" t="n">
        <f aca="false">IF(G80=0,"",H80/G80)</f>
        <v>1</v>
      </c>
      <c r="M80" s="8" t="s">
        <v>22</v>
      </c>
      <c r="N80" s="10"/>
      <c r="O80" s="8" t="n">
        <v>0</v>
      </c>
      <c r="P80" s="8" t="n">
        <v>1</v>
      </c>
      <c r="Q80" s="8" t="n">
        <v>0</v>
      </c>
    </row>
    <row r="81" customFormat="false" ht="15" hidden="false" customHeight="true" outlineLevel="0" collapsed="false">
      <c r="A81" s="8" t="s">
        <v>189</v>
      </c>
      <c r="B81" s="8" t="s">
        <v>190</v>
      </c>
      <c r="C81" s="8" t="s">
        <v>25</v>
      </c>
      <c r="D81" s="9" t="s">
        <v>71</v>
      </c>
      <c r="E81" s="10" t="n">
        <v>94209</v>
      </c>
      <c r="F81" s="8" t="s">
        <v>21</v>
      </c>
      <c r="G81" s="8" t="n">
        <v>1</v>
      </c>
      <c r="H81" s="8" t="n">
        <f aca="false">O81+P81+Q81</f>
        <v>2</v>
      </c>
      <c r="I81" s="8" t="n">
        <v>0</v>
      </c>
      <c r="J81" s="11" t="n">
        <f aca="false">IF(G81=0,"",I81/G81)</f>
        <v>0</v>
      </c>
      <c r="K81" s="12" t="n">
        <f aca="false">IF(ISNUMBER(E81),IF(E81&gt;0,G81/E81*1000000,""),"")</f>
        <v>10.614697109618</v>
      </c>
      <c r="L81" s="12" t="n">
        <f aca="false">IF(G81=0,"",H81/G81)</f>
        <v>2</v>
      </c>
      <c r="M81" s="8" t="s">
        <v>22</v>
      </c>
      <c r="N81" s="10"/>
      <c r="O81" s="8" t="n">
        <v>0</v>
      </c>
      <c r="P81" s="8" t="n">
        <v>2</v>
      </c>
      <c r="Q81" s="8" t="n">
        <v>0</v>
      </c>
    </row>
    <row r="82" customFormat="false" ht="15" hidden="false" customHeight="true" outlineLevel="0" collapsed="false">
      <c r="A82" s="8" t="s">
        <v>191</v>
      </c>
      <c r="B82" s="8" t="s">
        <v>192</v>
      </c>
      <c r="C82" s="8" t="s">
        <v>19</v>
      </c>
      <c r="D82" s="9" t="s">
        <v>71</v>
      </c>
      <c r="E82" s="10" t="n">
        <v>7498900</v>
      </c>
      <c r="F82" s="8" t="s">
        <v>21</v>
      </c>
      <c r="G82" s="8" t="n">
        <v>1</v>
      </c>
      <c r="H82" s="8" t="n">
        <f aca="false">O82+P82+Q82</f>
        <v>1</v>
      </c>
      <c r="I82" s="8" t="n">
        <v>0</v>
      </c>
      <c r="J82" s="11" t="n">
        <f aca="false">IF(G82=0,"",I82/G82)</f>
        <v>0</v>
      </c>
      <c r="K82" s="12" t="n">
        <f aca="false">IF(ISNUMBER(E82),IF(E82&gt;0,G82/E82*1000000,""),"")</f>
        <v>0.133352891757458</v>
      </c>
      <c r="L82" s="12" t="n">
        <f aca="false">IF(G82=0,"",H82/G82)</f>
        <v>1</v>
      </c>
      <c r="M82" s="8" t="s">
        <v>22</v>
      </c>
      <c r="N82" s="10"/>
      <c r="O82" s="8" t="n">
        <v>0</v>
      </c>
      <c r="P82" s="8" t="n">
        <v>1</v>
      </c>
      <c r="Q82" s="8" t="n">
        <v>0</v>
      </c>
    </row>
    <row r="83" customFormat="false" ht="15" hidden="false" customHeight="true" outlineLevel="0" collapsed="false">
      <c r="A83" s="8" t="s">
        <v>193</v>
      </c>
      <c r="B83" s="8" t="s">
        <v>194</v>
      </c>
      <c r="C83" s="8" t="s">
        <v>64</v>
      </c>
      <c r="D83" s="9" t="s">
        <v>71</v>
      </c>
      <c r="E83" s="10" t="n">
        <v>41024</v>
      </c>
      <c r="F83" s="8" t="s">
        <v>21</v>
      </c>
      <c r="G83" s="8" t="n">
        <v>1</v>
      </c>
      <c r="H83" s="8" t="n">
        <f aca="false">O83+P83+Q83</f>
        <v>1</v>
      </c>
      <c r="I83" s="8" t="n">
        <v>0</v>
      </c>
      <c r="J83" s="11" t="n">
        <f aca="false">IF(G83=0,"",I83/G83)</f>
        <v>0</v>
      </c>
      <c r="K83" s="12" t="n">
        <f aca="false">IF(ISNUMBER(E83),IF(E83&gt;0,G83/E83*1000000,""),"")</f>
        <v>24.3759750390016</v>
      </c>
      <c r="L83" s="12" t="n">
        <f aca="false">IF(G83=0,"",H83/G83)</f>
        <v>1</v>
      </c>
      <c r="M83" s="8" t="s">
        <v>22</v>
      </c>
      <c r="N83" s="10"/>
      <c r="O83" s="8" t="n">
        <v>0</v>
      </c>
      <c r="P83" s="8" t="n">
        <v>1</v>
      </c>
      <c r="Q83" s="8" t="n">
        <v>0</v>
      </c>
    </row>
    <row r="84" customFormat="false" ht="15" hidden="false" customHeight="true" outlineLevel="0" collapsed="false">
      <c r="A84" s="8" t="s">
        <v>195</v>
      </c>
      <c r="B84" s="8" t="s">
        <v>196</v>
      </c>
      <c r="C84" s="8" t="s">
        <v>92</v>
      </c>
      <c r="D84" s="9" t="s">
        <v>71</v>
      </c>
      <c r="E84" s="10" t="n">
        <v>12025</v>
      </c>
      <c r="F84" s="8" t="s">
        <v>21</v>
      </c>
      <c r="G84" s="8" t="n">
        <v>1</v>
      </c>
      <c r="H84" s="8" t="n">
        <f aca="false">O84+P84+Q84</f>
        <v>0</v>
      </c>
      <c r="I84" s="8" t="n">
        <v>1</v>
      </c>
      <c r="J84" s="11" t="n">
        <f aca="false">IF(G84=0,"",I84/G84)</f>
        <v>1</v>
      </c>
      <c r="K84" s="12" t="n">
        <f aca="false">IF(ISNUMBER(E84),IF(E84&gt;0,G84/E84*1000000,""),"")</f>
        <v>83.1600831600832</v>
      </c>
      <c r="L84" s="12" t="n">
        <f aca="false">IF(G84=0,"",H84/G84)</f>
        <v>0</v>
      </c>
      <c r="M84" s="8" t="s">
        <v>22</v>
      </c>
      <c r="N84" s="10"/>
      <c r="O84" s="8" t="n">
        <v>0</v>
      </c>
      <c r="P84" s="8" t="n">
        <v>0</v>
      </c>
      <c r="Q84" s="8" t="n">
        <v>0</v>
      </c>
    </row>
    <row r="85" customFormat="false" ht="15" hidden="false" customHeight="true" outlineLevel="0" collapsed="false">
      <c r="A85" s="8" t="s">
        <v>197</v>
      </c>
      <c r="B85" s="8" t="s">
        <v>198</v>
      </c>
      <c r="C85" s="8" t="s">
        <v>64</v>
      </c>
      <c r="D85" s="9" t="s">
        <v>71</v>
      </c>
      <c r="E85" s="10" t="n">
        <v>34109</v>
      </c>
      <c r="F85" s="8" t="s">
        <v>21</v>
      </c>
      <c r="G85" s="8" t="n">
        <v>1</v>
      </c>
      <c r="H85" s="8" t="n">
        <f aca="false">O85+P85+Q85</f>
        <v>1</v>
      </c>
      <c r="I85" s="8" t="n">
        <v>0</v>
      </c>
      <c r="J85" s="11" t="n">
        <f aca="false">IF(G85=0,"",I85/G85)</f>
        <v>0</v>
      </c>
      <c r="K85" s="12" t="n">
        <f aca="false">IF(ISNUMBER(E85),IF(E85&gt;0,G85/E85*1000000,""),"")</f>
        <v>29.3177753672051</v>
      </c>
      <c r="L85" s="12" t="n">
        <f aca="false">IF(G85=0,"",H85/G85)</f>
        <v>1</v>
      </c>
      <c r="M85" s="8" t="s">
        <v>22</v>
      </c>
      <c r="N85" s="10"/>
      <c r="O85" s="8" t="n">
        <v>0</v>
      </c>
      <c r="P85" s="8" t="n">
        <v>1</v>
      </c>
      <c r="Q85" s="8" t="n">
        <v>0</v>
      </c>
    </row>
    <row r="86" customFormat="false" ht="15" hidden="false" customHeight="true" outlineLevel="0" collapsed="false">
      <c r="A86" s="13" t="s">
        <v>199</v>
      </c>
      <c r="B86" s="13" t="s">
        <v>200</v>
      </c>
      <c r="C86" s="13" t="s">
        <v>19</v>
      </c>
      <c r="D86" s="14" t="s">
        <v>201</v>
      </c>
      <c r="E86" s="15" t="n">
        <v>285721236</v>
      </c>
      <c r="F86" s="13" t="s">
        <v>21</v>
      </c>
      <c r="G86" s="13" t="n">
        <v>126</v>
      </c>
      <c r="H86" s="13" t="n">
        <f aca="false">O86+P86+Q86</f>
        <v>104</v>
      </c>
      <c r="I86" s="13" t="n">
        <v>37</v>
      </c>
      <c r="J86" s="16" t="n">
        <f aca="false">IF(G86=0,"",I86/G86)</f>
        <v>0.293650793650794</v>
      </c>
      <c r="K86" s="17" t="n">
        <f aca="false">IF(ISNUMBER(E86),IF(E86&gt;0,G86/E86*1000000,""),"")</f>
        <v>0.440989272494957</v>
      </c>
      <c r="L86" s="17" t="n">
        <f aca="false">IF(G86=0,"",H86/G86)</f>
        <v>0.825396825396825</v>
      </c>
      <c r="M86" s="13" t="s">
        <v>26</v>
      </c>
      <c r="N86" s="15"/>
      <c r="O86" s="13" t="n">
        <v>76</v>
      </c>
      <c r="P86" s="13" t="n">
        <v>28</v>
      </c>
      <c r="Q86" s="13" t="n">
        <v>0</v>
      </c>
    </row>
    <row r="87" customFormat="false" ht="15" hidden="false" customHeight="true" outlineLevel="0" collapsed="false">
      <c r="A87" s="13" t="s">
        <v>202</v>
      </c>
      <c r="B87" s="13" t="s">
        <v>203</v>
      </c>
      <c r="C87" s="13" t="s">
        <v>19</v>
      </c>
      <c r="D87" s="14" t="s">
        <v>201</v>
      </c>
      <c r="E87" s="15" t="n">
        <v>1406585000</v>
      </c>
      <c r="F87" s="13" t="s">
        <v>21</v>
      </c>
      <c r="G87" s="13" t="n">
        <v>124</v>
      </c>
      <c r="H87" s="13" t="n">
        <f aca="false">O87+P87+Q87</f>
        <v>212</v>
      </c>
      <c r="I87" s="13" t="n">
        <v>25</v>
      </c>
      <c r="J87" s="16" t="n">
        <f aca="false">IF(G87=0,"",I87/G87)</f>
        <v>0.201612903225806</v>
      </c>
      <c r="K87" s="17" t="n">
        <f aca="false">IF(ISNUMBER(E87),IF(E87&gt;0,G87/E87*1000000,""),"")</f>
        <v>0.0881567768744868</v>
      </c>
      <c r="L87" s="17" t="n">
        <f aca="false">IF(G87=0,"",H87/G87)</f>
        <v>1.70967741935484</v>
      </c>
      <c r="M87" s="13" t="s">
        <v>26</v>
      </c>
      <c r="N87" s="15"/>
      <c r="O87" s="13" t="n">
        <v>196</v>
      </c>
      <c r="P87" s="13" t="n">
        <v>16</v>
      </c>
      <c r="Q87" s="13" t="n">
        <v>0</v>
      </c>
    </row>
    <row r="88" customFormat="false" ht="15" hidden="false" customHeight="true" outlineLevel="0" collapsed="false">
      <c r="A88" s="13" t="s">
        <v>204</v>
      </c>
      <c r="B88" s="13" t="s">
        <v>205</v>
      </c>
      <c r="C88" s="13" t="s">
        <v>19</v>
      </c>
      <c r="D88" s="14" t="s">
        <v>201</v>
      </c>
      <c r="E88" s="15" t="n">
        <v>1463865525</v>
      </c>
      <c r="F88" s="13" t="s">
        <v>21</v>
      </c>
      <c r="G88" s="13" t="n">
        <v>98</v>
      </c>
      <c r="H88" s="13" t="n">
        <f aca="false">O88+P88+Q88</f>
        <v>61</v>
      </c>
      <c r="I88" s="13" t="n">
        <v>37</v>
      </c>
      <c r="J88" s="16" t="n">
        <f aca="false">IF(G88=0,"",I88/G88)</f>
        <v>0.377551020408163</v>
      </c>
      <c r="K88" s="17" t="n">
        <f aca="false">IF(ISNUMBER(E88),IF(E88&gt;0,G88/E88*1000000,""),"")</f>
        <v>0.066946040005963</v>
      </c>
      <c r="L88" s="17" t="n">
        <f aca="false">IF(G88=0,"",H88/G88)</f>
        <v>0.622448979591837</v>
      </c>
      <c r="M88" s="13" t="s">
        <v>36</v>
      </c>
      <c r="N88" s="15"/>
      <c r="O88" s="13" t="n">
        <v>49</v>
      </c>
      <c r="P88" s="13" t="n">
        <v>12</v>
      </c>
      <c r="Q88" s="13" t="n">
        <v>0</v>
      </c>
    </row>
    <row r="89" customFormat="false" ht="15" hidden="false" customHeight="true" outlineLevel="0" collapsed="false">
      <c r="A89" s="13" t="s">
        <v>206</v>
      </c>
      <c r="B89" s="13" t="s">
        <v>207</v>
      </c>
      <c r="C89" s="13" t="s">
        <v>33</v>
      </c>
      <c r="D89" s="14" t="s">
        <v>201</v>
      </c>
      <c r="E89" s="15" t="n">
        <v>212812405</v>
      </c>
      <c r="F89" s="13" t="s">
        <v>21</v>
      </c>
      <c r="G89" s="13" t="n">
        <v>97</v>
      </c>
      <c r="H89" s="13" t="n">
        <f aca="false">O89+P89+Q89</f>
        <v>103</v>
      </c>
      <c r="I89" s="13" t="n">
        <v>18</v>
      </c>
      <c r="J89" s="16" t="n">
        <f aca="false">IF(G89=0,"",I89/G89)</f>
        <v>0.185567010309278</v>
      </c>
      <c r="K89" s="17" t="n">
        <f aca="false">IF(ISNUMBER(E89),IF(E89&gt;0,G89/E89*1000000,""),"")</f>
        <v>0.455800497156169</v>
      </c>
      <c r="L89" s="17" t="n">
        <f aca="false">IF(G89=0,"",H89/G89)</f>
        <v>1.06185567010309</v>
      </c>
      <c r="M89" s="13" t="s">
        <v>26</v>
      </c>
      <c r="N89" s="15"/>
      <c r="O89" s="13" t="n">
        <v>78</v>
      </c>
      <c r="P89" s="13" t="n">
        <v>25</v>
      </c>
      <c r="Q89" s="13" t="n">
        <v>0</v>
      </c>
    </row>
    <row r="90" customFormat="false" ht="15" hidden="false" customHeight="true" outlineLevel="0" collapsed="false">
      <c r="A90" s="13" t="s">
        <v>208</v>
      </c>
      <c r="B90" s="13" t="s">
        <v>209</v>
      </c>
      <c r="C90" s="13" t="s">
        <v>19</v>
      </c>
      <c r="D90" s="14" t="s">
        <v>201</v>
      </c>
      <c r="E90" s="15" t="n">
        <v>116786962</v>
      </c>
      <c r="F90" s="13" t="s">
        <v>21</v>
      </c>
      <c r="G90" s="13" t="n">
        <v>77</v>
      </c>
      <c r="H90" s="13" t="n">
        <f aca="false">O90+P90+Q90</f>
        <v>77</v>
      </c>
      <c r="I90" s="13" t="n">
        <v>11</v>
      </c>
      <c r="J90" s="16" t="n">
        <f aca="false">IF(G90=0,"",I90/G90)</f>
        <v>0.142857142857143</v>
      </c>
      <c r="K90" s="17" t="n">
        <f aca="false">IF(ISNUMBER(E90),IF(E90&gt;0,G90/E90*1000000,""),"")</f>
        <v>0.659320173085759</v>
      </c>
      <c r="L90" s="17" t="n">
        <f aca="false">IF(G90=0,"",H90/G90)</f>
        <v>1</v>
      </c>
      <c r="M90" s="13" t="s">
        <v>26</v>
      </c>
      <c r="N90" s="15"/>
      <c r="O90" s="13" t="n">
        <v>45</v>
      </c>
      <c r="P90" s="13" t="n">
        <v>30</v>
      </c>
      <c r="Q90" s="13" t="n">
        <v>2</v>
      </c>
    </row>
    <row r="91" customFormat="false" ht="15" hidden="false" customHeight="true" outlineLevel="0" collapsed="false">
      <c r="A91" s="13" t="s">
        <v>210</v>
      </c>
      <c r="B91" s="13" t="s">
        <v>211</v>
      </c>
      <c r="C91" s="13" t="s">
        <v>33</v>
      </c>
      <c r="D91" s="14" t="s">
        <v>201</v>
      </c>
      <c r="E91" s="15" t="n">
        <v>45851378</v>
      </c>
      <c r="F91" s="13" t="s">
        <v>21</v>
      </c>
      <c r="G91" s="13" t="n">
        <v>63</v>
      </c>
      <c r="H91" s="13" t="n">
        <f aca="false">O91+P91+Q91</f>
        <v>61</v>
      </c>
      <c r="I91" s="13" t="n">
        <v>19</v>
      </c>
      <c r="J91" s="16" t="n">
        <f aca="false">IF(G91=0,"",I91/G91)</f>
        <v>0.301587301587302</v>
      </c>
      <c r="K91" s="17" t="n">
        <f aca="false">IF(ISNUMBER(E91),IF(E91&gt;0,G91/E91*1000000,""),"")</f>
        <v>1.37400450647307</v>
      </c>
      <c r="L91" s="17" t="n">
        <f aca="false">IF(G91=0,"",H91/G91)</f>
        <v>0.968253968253968</v>
      </c>
      <c r="M91" s="13" t="s">
        <v>26</v>
      </c>
      <c r="N91" s="15"/>
      <c r="O91" s="13" t="n">
        <v>51</v>
      </c>
      <c r="P91" s="13" t="n">
        <v>9</v>
      </c>
      <c r="Q91" s="13" t="n">
        <v>1</v>
      </c>
    </row>
    <row r="92" customFormat="false" ht="15" hidden="false" customHeight="true" outlineLevel="0" collapsed="false">
      <c r="A92" s="13" t="s">
        <v>212</v>
      </c>
      <c r="B92" s="13" t="s">
        <v>213</v>
      </c>
      <c r="C92" s="13" t="s">
        <v>29</v>
      </c>
      <c r="D92" s="14" t="s">
        <v>201</v>
      </c>
      <c r="E92" s="15" t="n">
        <v>118365995</v>
      </c>
      <c r="F92" s="13" t="s">
        <v>21</v>
      </c>
      <c r="G92" s="13" t="n">
        <v>60</v>
      </c>
      <c r="H92" s="13" t="n">
        <f aca="false">O92+P92+Q92</f>
        <v>10</v>
      </c>
      <c r="I92" s="13" t="n">
        <v>51</v>
      </c>
      <c r="J92" s="16" t="n">
        <f aca="false">IF(G92=0,"",I92/G92)</f>
        <v>0.85</v>
      </c>
      <c r="K92" s="17" t="n">
        <f aca="false">IF(ISNUMBER(E92),IF(E92&gt;0,G92/E92*1000000,""),"")</f>
        <v>0.506902341335449</v>
      </c>
      <c r="L92" s="17" t="n">
        <f aca="false">IF(G92=0,"",H92/G92)</f>
        <v>0.166666666666667</v>
      </c>
      <c r="M92" s="13" t="s">
        <v>36</v>
      </c>
      <c r="N92" s="15"/>
      <c r="O92" s="13" t="n">
        <v>2</v>
      </c>
      <c r="P92" s="13" t="n">
        <v>8</v>
      </c>
      <c r="Q92" s="13" t="n">
        <v>0</v>
      </c>
    </row>
    <row r="93" customFormat="false" ht="15" hidden="false" customHeight="true" outlineLevel="0" collapsed="false">
      <c r="A93" s="13" t="s">
        <v>214</v>
      </c>
      <c r="B93" s="13" t="s">
        <v>215</v>
      </c>
      <c r="C93" s="13" t="s">
        <v>33</v>
      </c>
      <c r="D93" s="14" t="s">
        <v>201</v>
      </c>
      <c r="E93" s="15" t="n">
        <v>12581843</v>
      </c>
      <c r="F93" s="13" t="s">
        <v>21</v>
      </c>
      <c r="G93" s="13" t="n">
        <v>52</v>
      </c>
      <c r="H93" s="13" t="n">
        <f aca="false">O93+P93+Q93</f>
        <v>25</v>
      </c>
      <c r="I93" s="13" t="n">
        <v>25</v>
      </c>
      <c r="J93" s="16" t="n">
        <f aca="false">IF(G93=0,"",I93/G93)</f>
        <v>0.480769230769231</v>
      </c>
      <c r="K93" s="17" t="n">
        <f aca="false">IF(ISNUMBER(E93),IF(E93&gt;0,G93/E93*1000000,""),"")</f>
        <v>4.13293982447564</v>
      </c>
      <c r="L93" s="17" t="n">
        <f aca="false">IF(G93=0,"",H93/G93)</f>
        <v>0.480769230769231</v>
      </c>
      <c r="M93" s="13" t="s">
        <v>36</v>
      </c>
      <c r="N93" s="15"/>
      <c r="O93" s="13" t="n">
        <v>19</v>
      </c>
      <c r="P93" s="13" t="n">
        <v>6</v>
      </c>
      <c r="Q93" s="13" t="n">
        <v>0</v>
      </c>
    </row>
    <row r="94" customFormat="false" ht="15" hidden="false" customHeight="true" outlineLevel="0" collapsed="false">
      <c r="A94" s="13" t="s">
        <v>216</v>
      </c>
      <c r="B94" s="13" t="s">
        <v>217</v>
      </c>
      <c r="C94" s="13" t="s">
        <v>33</v>
      </c>
      <c r="D94" s="14" t="s">
        <v>201</v>
      </c>
      <c r="E94" s="15" t="n">
        <v>18289896</v>
      </c>
      <c r="F94" s="13" t="s">
        <v>21</v>
      </c>
      <c r="G94" s="13" t="n">
        <v>46</v>
      </c>
      <c r="H94" s="13" t="n">
        <f aca="false">O94+P94+Q94</f>
        <v>29</v>
      </c>
      <c r="I94" s="13" t="n">
        <v>19</v>
      </c>
      <c r="J94" s="16" t="n">
        <f aca="false">IF(G94=0,"",I94/G94)</f>
        <v>0.41304347826087</v>
      </c>
      <c r="K94" s="17" t="n">
        <f aca="false">IF(ISNUMBER(E94),IF(E94&gt;0,G94/E94*1000000,""),"")</f>
        <v>2.51504983953982</v>
      </c>
      <c r="L94" s="17" t="n">
        <f aca="false">IF(G94=0,"",H94/G94)</f>
        <v>0.630434782608696</v>
      </c>
      <c r="M94" s="13" t="s">
        <v>26</v>
      </c>
      <c r="N94" s="15"/>
      <c r="O94" s="13" t="n">
        <v>20</v>
      </c>
      <c r="P94" s="13" t="n">
        <v>9</v>
      </c>
      <c r="Q94" s="13" t="n">
        <v>0</v>
      </c>
    </row>
    <row r="95" customFormat="false" ht="15" hidden="false" customHeight="true" outlineLevel="0" collapsed="false">
      <c r="A95" s="13" t="s">
        <v>218</v>
      </c>
      <c r="B95" s="13" t="s">
        <v>219</v>
      </c>
      <c r="C95" s="13" t="s">
        <v>33</v>
      </c>
      <c r="D95" s="14" t="s">
        <v>201</v>
      </c>
      <c r="E95" s="15" t="n">
        <v>7013078</v>
      </c>
      <c r="F95" s="13" t="s">
        <v>21</v>
      </c>
      <c r="G95" s="13" t="n">
        <v>46</v>
      </c>
      <c r="H95" s="13" t="n">
        <f aca="false">O95+P95+Q95</f>
        <v>20</v>
      </c>
      <c r="I95" s="13" t="n">
        <v>23</v>
      </c>
      <c r="J95" s="16" t="n">
        <f aca="false">IF(G95=0,"",I95/G95)</f>
        <v>0.5</v>
      </c>
      <c r="K95" s="17" t="n">
        <f aca="false">IF(ISNUMBER(E95),IF(E95&gt;0,G95/E95*1000000,""),"")</f>
        <v>6.55917416004784</v>
      </c>
      <c r="L95" s="17" t="n">
        <f aca="false">IF(G95=0,"",H95/G95)</f>
        <v>0.434782608695652</v>
      </c>
      <c r="M95" s="13" t="s">
        <v>26</v>
      </c>
      <c r="N95" s="15"/>
      <c r="O95" s="13" t="n">
        <v>14</v>
      </c>
      <c r="P95" s="13" t="n">
        <v>6</v>
      </c>
      <c r="Q95" s="13" t="n">
        <v>0</v>
      </c>
    </row>
    <row r="96" customFormat="false" ht="15" hidden="false" customHeight="true" outlineLevel="0" collapsed="false">
      <c r="A96" s="13" t="s">
        <v>220</v>
      </c>
      <c r="B96" s="13" t="s">
        <v>221</v>
      </c>
      <c r="C96" s="13" t="s">
        <v>19</v>
      </c>
      <c r="D96" s="14" t="s">
        <v>201</v>
      </c>
      <c r="E96" s="15" t="n">
        <v>101598527</v>
      </c>
      <c r="F96" s="13" t="s">
        <v>21</v>
      </c>
      <c r="G96" s="13" t="n">
        <v>45</v>
      </c>
      <c r="H96" s="13" t="n">
        <f aca="false">O96+P96+Q96</f>
        <v>23</v>
      </c>
      <c r="I96" s="13" t="n">
        <v>25</v>
      </c>
      <c r="J96" s="16" t="n">
        <f aca="false">IF(G96=0,"",I96/G96)</f>
        <v>0.555555555555556</v>
      </c>
      <c r="K96" s="17" t="n">
        <f aca="false">IF(ISNUMBER(E96),IF(E96&gt;0,G96/E96*1000000,""),"")</f>
        <v>0.442919807292088</v>
      </c>
      <c r="L96" s="17" t="n">
        <f aca="false">IF(G96=0,"",H96/G96)</f>
        <v>0.511111111111111</v>
      </c>
      <c r="M96" s="13" t="s">
        <v>26</v>
      </c>
      <c r="N96" s="15"/>
      <c r="O96" s="13" t="n">
        <v>8</v>
      </c>
      <c r="P96" s="13" t="n">
        <v>15</v>
      </c>
      <c r="Q96" s="13" t="n">
        <v>0</v>
      </c>
    </row>
    <row r="97" customFormat="false" ht="15" hidden="false" customHeight="true" outlineLevel="0" collapsed="false">
      <c r="A97" s="13" t="s">
        <v>222</v>
      </c>
      <c r="B97" s="13" t="s">
        <v>223</v>
      </c>
      <c r="C97" s="13" t="s">
        <v>33</v>
      </c>
      <c r="D97" s="14" t="s">
        <v>201</v>
      </c>
      <c r="E97" s="15" t="n">
        <v>639850</v>
      </c>
      <c r="F97" s="13" t="s">
        <v>21</v>
      </c>
      <c r="G97" s="13" t="n">
        <v>39</v>
      </c>
      <c r="H97" s="13" t="n">
        <f aca="false">O97+P97+Q97</f>
        <v>25</v>
      </c>
      <c r="I97" s="13" t="n">
        <v>13</v>
      </c>
      <c r="J97" s="16" t="n">
        <f aca="false">IF(G97=0,"",I97/G97)</f>
        <v>0.333333333333333</v>
      </c>
      <c r="K97" s="17" t="n">
        <f aca="false">IF(ISNUMBER(E97),IF(E97&gt;0,G97/E97*1000000,""),"")</f>
        <v>60.9517855747441</v>
      </c>
      <c r="L97" s="17" t="n">
        <f aca="false">IF(G97=0,"",H97/G97)</f>
        <v>0.641025641025641</v>
      </c>
      <c r="M97" s="13" t="s">
        <v>26</v>
      </c>
      <c r="N97" s="15"/>
      <c r="O97" s="13" t="n">
        <v>18</v>
      </c>
      <c r="P97" s="13" t="n">
        <v>6</v>
      </c>
      <c r="Q97" s="13" t="n">
        <v>1</v>
      </c>
    </row>
    <row r="98" customFormat="false" ht="15" hidden="false" customHeight="true" outlineLevel="0" collapsed="false">
      <c r="A98" s="13" t="s">
        <v>224</v>
      </c>
      <c r="B98" s="13" t="s">
        <v>225</v>
      </c>
      <c r="C98" s="13" t="s">
        <v>33</v>
      </c>
      <c r="D98" s="14" t="s">
        <v>201</v>
      </c>
      <c r="E98" s="15" t="n">
        <v>34576665</v>
      </c>
      <c r="F98" s="13" t="s">
        <v>21</v>
      </c>
      <c r="G98" s="13" t="n">
        <v>36</v>
      </c>
      <c r="H98" s="13" t="n">
        <f aca="false">O98+P98+Q98</f>
        <v>25</v>
      </c>
      <c r="I98" s="13" t="n">
        <v>11</v>
      </c>
      <c r="J98" s="16" t="n">
        <f aca="false">IF(G98=0,"",I98/G98)</f>
        <v>0.305555555555556</v>
      </c>
      <c r="K98" s="17" t="n">
        <f aca="false">IF(ISNUMBER(E98),IF(E98&gt;0,G98/E98*1000000,""),"")</f>
        <v>1.04116461202953</v>
      </c>
      <c r="L98" s="17" t="n">
        <f aca="false">IF(G98=0,"",H98/G98)</f>
        <v>0.694444444444444</v>
      </c>
      <c r="M98" s="13" t="s">
        <v>26</v>
      </c>
      <c r="N98" s="15"/>
      <c r="O98" s="13" t="n">
        <v>17</v>
      </c>
      <c r="P98" s="13" t="n">
        <v>8</v>
      </c>
      <c r="Q98" s="13" t="n">
        <v>0</v>
      </c>
    </row>
    <row r="99" customFormat="false" ht="15" hidden="false" customHeight="true" outlineLevel="0" collapsed="false">
      <c r="A99" s="13" t="s">
        <v>226</v>
      </c>
      <c r="B99" s="13" t="s">
        <v>227</v>
      </c>
      <c r="C99" s="13" t="s">
        <v>64</v>
      </c>
      <c r="D99" s="14" t="s">
        <v>201</v>
      </c>
      <c r="E99" s="15" t="n">
        <v>85878556</v>
      </c>
      <c r="F99" s="13" t="s">
        <v>21</v>
      </c>
      <c r="G99" s="13" t="n">
        <v>34</v>
      </c>
      <c r="H99" s="13" t="n">
        <f aca="false">O99+P99+Q99</f>
        <v>26</v>
      </c>
      <c r="I99" s="13" t="n">
        <v>11</v>
      </c>
      <c r="J99" s="16" t="n">
        <f aca="false">IF(G99=0,"",I99/G99)</f>
        <v>0.323529411764706</v>
      </c>
      <c r="K99" s="17" t="n">
        <f aca="false">IF(ISNUMBER(E99),IF(E99&gt;0,G99/E99*1000000,""),"")</f>
        <v>0.395907914427439</v>
      </c>
      <c r="L99" s="17" t="n">
        <f aca="false">IF(G99=0,"",H99/G99)</f>
        <v>0.764705882352941</v>
      </c>
      <c r="M99" s="13" t="s">
        <v>26</v>
      </c>
      <c r="N99" s="15"/>
      <c r="O99" s="13" t="n">
        <v>5</v>
      </c>
      <c r="P99" s="13" t="n">
        <v>21</v>
      </c>
      <c r="Q99" s="13" t="n">
        <v>0</v>
      </c>
    </row>
    <row r="100" customFormat="false" ht="15" hidden="false" customHeight="true" outlineLevel="0" collapsed="false">
      <c r="A100" s="13" t="s">
        <v>228</v>
      </c>
      <c r="B100" s="13" t="s">
        <v>229</v>
      </c>
      <c r="C100" s="13" t="s">
        <v>53</v>
      </c>
      <c r="D100" s="14" t="s">
        <v>201</v>
      </c>
      <c r="E100" s="15" t="n">
        <v>92417681</v>
      </c>
      <c r="F100" s="13" t="s">
        <v>21</v>
      </c>
      <c r="G100" s="13" t="n">
        <v>29</v>
      </c>
      <c r="H100" s="13" t="n">
        <f aca="false">O100+P100+Q100</f>
        <v>2</v>
      </c>
      <c r="I100" s="13" t="n">
        <v>28</v>
      </c>
      <c r="J100" s="16" t="n">
        <f aca="false">IF(G100=0,"",I100/G100)</f>
        <v>0.96551724137931</v>
      </c>
      <c r="K100" s="17" t="n">
        <f aca="false">IF(ISNUMBER(E100),IF(E100&gt;0,G100/E100*1000000,""),"")</f>
        <v>0.313792768723552</v>
      </c>
      <c r="L100" s="17" t="n">
        <f aca="false">IF(G100=0,"",H100/G100)</f>
        <v>0.0689655172413793</v>
      </c>
      <c r="M100" s="13" t="s">
        <v>26</v>
      </c>
      <c r="N100" s="15"/>
      <c r="O100" s="13" t="n">
        <v>0</v>
      </c>
      <c r="P100" s="13" t="n">
        <v>2</v>
      </c>
      <c r="Q100" s="13" t="n">
        <v>0</v>
      </c>
    </row>
    <row r="101" customFormat="false" ht="15" hidden="false" customHeight="true" outlineLevel="0" collapsed="false">
      <c r="A101" s="13" t="s">
        <v>230</v>
      </c>
      <c r="B101" s="13" t="s">
        <v>231</v>
      </c>
      <c r="C101" s="13" t="s">
        <v>33</v>
      </c>
      <c r="D101" s="14" t="s">
        <v>201</v>
      </c>
      <c r="E101" s="15" t="n">
        <v>28516896</v>
      </c>
      <c r="F101" s="13" t="s">
        <v>21</v>
      </c>
      <c r="G101" s="13" t="n">
        <v>26</v>
      </c>
      <c r="H101" s="13" t="n">
        <f aca="false">O101+P101+Q101</f>
        <v>6</v>
      </c>
      <c r="I101" s="13" t="n">
        <v>18</v>
      </c>
      <c r="J101" s="16" t="n">
        <f aca="false">IF(G101=0,"",I101/G101)</f>
        <v>0.692307692307692</v>
      </c>
      <c r="K101" s="17" t="n">
        <f aca="false">IF(ISNUMBER(E101),IF(E101&gt;0,G101/E101*1000000,""),"")</f>
        <v>0.911740183784378</v>
      </c>
      <c r="L101" s="17" t="n">
        <f aca="false">IF(G101=0,"",H101/G101)</f>
        <v>0.230769230769231</v>
      </c>
      <c r="M101" s="13" t="s">
        <v>36</v>
      </c>
      <c r="N101" s="15"/>
      <c r="O101" s="13" t="n">
        <v>6</v>
      </c>
      <c r="P101" s="13" t="n">
        <v>0</v>
      </c>
      <c r="Q101" s="13" t="n">
        <v>0</v>
      </c>
    </row>
    <row r="102" customFormat="false" ht="15" hidden="false" customHeight="true" outlineLevel="0" collapsed="false">
      <c r="A102" s="13" t="s">
        <v>232</v>
      </c>
      <c r="B102" s="13" t="s">
        <v>233</v>
      </c>
      <c r="C102" s="13" t="s">
        <v>19</v>
      </c>
      <c r="D102" s="14" t="s">
        <v>201</v>
      </c>
      <c r="E102" s="15" t="n">
        <v>71619863</v>
      </c>
      <c r="F102" s="13" t="s">
        <v>21</v>
      </c>
      <c r="G102" s="13" t="n">
        <v>25</v>
      </c>
      <c r="H102" s="13" t="n">
        <f aca="false">O102+P102+Q102</f>
        <v>13</v>
      </c>
      <c r="I102" s="13" t="n">
        <v>18</v>
      </c>
      <c r="J102" s="16" t="n">
        <f aca="false">IF(G102=0,"",I102/G102)</f>
        <v>0.72</v>
      </c>
      <c r="K102" s="17" t="n">
        <f aca="false">IF(ISNUMBER(E102),IF(E102&gt;0,G102/E102*1000000,""),"")</f>
        <v>0.349065174838438</v>
      </c>
      <c r="L102" s="17" t="n">
        <f aca="false">IF(G102=0,"",H102/G102)</f>
        <v>0.52</v>
      </c>
      <c r="M102" s="13" t="s">
        <v>26</v>
      </c>
      <c r="N102" s="15"/>
      <c r="O102" s="13" t="n">
        <v>2</v>
      </c>
      <c r="P102" s="13" t="n">
        <v>11</v>
      </c>
      <c r="Q102" s="13" t="n">
        <v>0</v>
      </c>
    </row>
    <row r="103" customFormat="false" ht="15" hidden="false" customHeight="true" outlineLevel="0" collapsed="false">
      <c r="A103" s="13" t="s">
        <v>234</v>
      </c>
      <c r="B103" s="13" t="s">
        <v>235</v>
      </c>
      <c r="C103" s="13" t="s">
        <v>29</v>
      </c>
      <c r="D103" s="14" t="s">
        <v>201</v>
      </c>
      <c r="E103" s="15" t="n">
        <v>64747319</v>
      </c>
      <c r="F103" s="13" t="s">
        <v>21</v>
      </c>
      <c r="G103" s="13" t="n">
        <v>25</v>
      </c>
      <c r="H103" s="13" t="n">
        <f aca="false">O103+P103+Q103</f>
        <v>27</v>
      </c>
      <c r="I103" s="13" t="n">
        <v>1</v>
      </c>
      <c r="J103" s="16" t="n">
        <f aca="false">IF(G103=0,"",I103/G103)</f>
        <v>0.04</v>
      </c>
      <c r="K103" s="17" t="n">
        <f aca="false">IF(ISNUMBER(E103),IF(E103&gt;0,G103/E103*1000000,""),"")</f>
        <v>0.386116373405361</v>
      </c>
      <c r="L103" s="17" t="n">
        <f aca="false">IF(G103=0,"",H103/G103)</f>
        <v>1.08</v>
      </c>
      <c r="M103" s="13" t="s">
        <v>26</v>
      </c>
      <c r="N103" s="15"/>
      <c r="O103" s="13" t="n">
        <v>17</v>
      </c>
      <c r="P103" s="13" t="n">
        <v>9</v>
      </c>
      <c r="Q103" s="13" t="n">
        <v>1</v>
      </c>
    </row>
    <row r="104" customFormat="false" ht="15" hidden="false" customHeight="true" outlineLevel="0" collapsed="false">
      <c r="A104" s="13" t="s">
        <v>236</v>
      </c>
      <c r="B104" s="13" t="s">
        <v>237</v>
      </c>
      <c r="C104" s="13" t="s">
        <v>29</v>
      </c>
      <c r="D104" s="14" t="s">
        <v>201</v>
      </c>
      <c r="E104" s="15" t="n">
        <v>57532493</v>
      </c>
      <c r="F104" s="13" t="s">
        <v>21</v>
      </c>
      <c r="G104" s="13" t="n">
        <v>16</v>
      </c>
      <c r="H104" s="13" t="n">
        <f aca="false">O104+P104+Q104</f>
        <v>9</v>
      </c>
      <c r="I104" s="13" t="n">
        <v>7</v>
      </c>
      <c r="J104" s="16" t="n">
        <f aca="false">IF(G104=0,"",I104/G104)</f>
        <v>0.4375</v>
      </c>
      <c r="K104" s="17" t="n">
        <f aca="false">IF(ISNUMBER(E104),IF(E104&gt;0,G104/E104*1000000,""),"")</f>
        <v>0.278103714365376</v>
      </c>
      <c r="L104" s="17" t="n">
        <f aca="false">IF(G104=0,"",H104/G104)</f>
        <v>0.5625</v>
      </c>
      <c r="M104" s="13" t="s">
        <v>36</v>
      </c>
      <c r="N104" s="15"/>
      <c r="O104" s="13" t="n">
        <v>6</v>
      </c>
      <c r="P104" s="13" t="n">
        <v>3</v>
      </c>
      <c r="Q104" s="13" t="n">
        <v>0</v>
      </c>
    </row>
    <row r="105" customFormat="false" ht="15" hidden="false" customHeight="true" outlineLevel="0" collapsed="false">
      <c r="A105" s="13" t="s">
        <v>238</v>
      </c>
      <c r="B105" s="13" t="s">
        <v>239</v>
      </c>
      <c r="C105" s="13" t="s">
        <v>29</v>
      </c>
      <c r="D105" s="14" t="s">
        <v>201</v>
      </c>
      <c r="E105" s="15" t="n">
        <v>70545865</v>
      </c>
      <c r="F105" s="13" t="s">
        <v>21</v>
      </c>
      <c r="G105" s="13" t="n">
        <v>14</v>
      </c>
      <c r="H105" s="13" t="n">
        <f aca="false">O105+P105+Q105</f>
        <v>11</v>
      </c>
      <c r="I105" s="13" t="n">
        <v>6</v>
      </c>
      <c r="J105" s="16" t="n">
        <f aca="false">IF(G105=0,"",I105/G105)</f>
        <v>0.428571428571429</v>
      </c>
      <c r="K105" s="17" t="n">
        <f aca="false">IF(ISNUMBER(E105),IF(E105&gt;0,G105/E105*1000000,""),"")</f>
        <v>0.198452453591717</v>
      </c>
      <c r="L105" s="17" t="n">
        <f aca="false">IF(G105=0,"",H105/G105)</f>
        <v>0.785714285714286</v>
      </c>
      <c r="M105" s="13" t="s">
        <v>36</v>
      </c>
      <c r="N105" s="15"/>
      <c r="O105" s="13" t="n">
        <v>2</v>
      </c>
      <c r="P105" s="13" t="n">
        <v>9</v>
      </c>
      <c r="Q105" s="13" t="n">
        <v>0</v>
      </c>
    </row>
    <row r="106" customFormat="false" ht="15" hidden="false" customHeight="true" outlineLevel="0" collapsed="false">
      <c r="A106" s="13" t="s">
        <v>240</v>
      </c>
      <c r="B106" s="13" t="s">
        <v>241</v>
      </c>
      <c r="C106" s="13" t="s">
        <v>53</v>
      </c>
      <c r="D106" s="14" t="s">
        <v>201</v>
      </c>
      <c r="E106" s="15" t="n">
        <v>47020774</v>
      </c>
      <c r="F106" s="13" t="s">
        <v>21</v>
      </c>
      <c r="G106" s="13" t="n">
        <v>13</v>
      </c>
      <c r="H106" s="13" t="n">
        <f aca="false">O106+P106+Q106</f>
        <v>5</v>
      </c>
      <c r="I106" s="13" t="n">
        <v>8</v>
      </c>
      <c r="J106" s="16" t="n">
        <f aca="false">IF(G106=0,"",I106/G106)</f>
        <v>0.615384615384615</v>
      </c>
      <c r="K106" s="17" t="n">
        <f aca="false">IF(ISNUMBER(E106),IF(E106&gt;0,G106/E106*1000000,""),"")</f>
        <v>0.276473543374679</v>
      </c>
      <c r="L106" s="17" t="n">
        <f aca="false">IF(G106=0,"",H106/G106)</f>
        <v>0.384615384615385</v>
      </c>
      <c r="M106" s="13" t="s">
        <v>26</v>
      </c>
      <c r="N106" s="15"/>
      <c r="O106" s="13" t="n">
        <v>2</v>
      </c>
      <c r="P106" s="13" t="n">
        <v>3</v>
      </c>
      <c r="Q106" s="13" t="n">
        <v>0</v>
      </c>
    </row>
    <row r="107" customFormat="false" ht="15" hidden="false" customHeight="true" outlineLevel="0" collapsed="false">
      <c r="A107" s="13" t="s">
        <v>242</v>
      </c>
      <c r="B107" s="13" t="s">
        <v>243</v>
      </c>
      <c r="C107" s="13" t="s">
        <v>29</v>
      </c>
      <c r="D107" s="14" t="s">
        <v>201</v>
      </c>
      <c r="E107" s="15" t="n">
        <v>1184076</v>
      </c>
      <c r="F107" s="13" t="s">
        <v>21</v>
      </c>
      <c r="G107" s="13" t="n">
        <v>12</v>
      </c>
      <c r="H107" s="13" t="n">
        <f aca="false">O107+P107+Q107</f>
        <v>9</v>
      </c>
      <c r="I107" s="13" t="n">
        <v>3</v>
      </c>
      <c r="J107" s="16" t="n">
        <f aca="false">IF(G107=0,"",I107/G107)</f>
        <v>0.25</v>
      </c>
      <c r="K107" s="17" t="n">
        <f aca="false">IF(ISNUMBER(E107),IF(E107&gt;0,G107/E107*1000000,""),"")</f>
        <v>10.1344846107851</v>
      </c>
      <c r="L107" s="17" t="n">
        <f aca="false">IF(G107=0,"",H107/G107)</f>
        <v>0.75</v>
      </c>
      <c r="M107" s="13" t="s">
        <v>36</v>
      </c>
      <c r="N107" s="15"/>
      <c r="O107" s="13" t="n">
        <v>7</v>
      </c>
      <c r="P107" s="13" t="n">
        <v>2</v>
      </c>
      <c r="Q107" s="13" t="n">
        <v>0</v>
      </c>
    </row>
    <row r="108" customFormat="false" ht="15" hidden="false" customHeight="true" outlineLevel="0" collapsed="false">
      <c r="A108" s="13" t="s">
        <v>244</v>
      </c>
      <c r="B108" s="13" t="s">
        <v>245</v>
      </c>
      <c r="C108" s="13" t="s">
        <v>29</v>
      </c>
      <c r="D108" s="14" t="s">
        <v>201</v>
      </c>
      <c r="E108" s="15" t="n">
        <v>35064272</v>
      </c>
      <c r="F108" s="13" t="s">
        <v>21</v>
      </c>
      <c r="G108" s="13" t="n">
        <v>11</v>
      </c>
      <c r="H108" s="13" t="n">
        <f aca="false">O108+P108+Q108</f>
        <v>7</v>
      </c>
      <c r="I108" s="13" t="n">
        <v>3</v>
      </c>
      <c r="J108" s="16" t="n">
        <f aca="false">IF(G108=0,"",I108/G108)</f>
        <v>0.272727272727273</v>
      </c>
      <c r="K108" s="17" t="n">
        <f aca="false">IF(ISNUMBER(E108),IF(E108&gt;0,G108/E108*1000000,""),"")</f>
        <v>0.313709635836729</v>
      </c>
      <c r="L108" s="17" t="n">
        <f aca="false">IF(G108=0,"",H108/G108)</f>
        <v>0.636363636363636</v>
      </c>
      <c r="M108" s="13" t="s">
        <v>36</v>
      </c>
      <c r="N108" s="15"/>
      <c r="O108" s="13" t="n">
        <v>5</v>
      </c>
      <c r="P108" s="13" t="n">
        <v>1</v>
      </c>
      <c r="Q108" s="13" t="n">
        <v>1</v>
      </c>
    </row>
    <row r="109" customFormat="false" ht="15" hidden="false" customHeight="true" outlineLevel="0" collapsed="false">
      <c r="A109" s="13" t="s">
        <v>246</v>
      </c>
      <c r="B109" s="13" t="s">
        <v>247</v>
      </c>
      <c r="C109" s="13" t="s">
        <v>29</v>
      </c>
      <c r="D109" s="14" t="s">
        <v>201</v>
      </c>
      <c r="E109" s="15" t="n">
        <v>1938431</v>
      </c>
      <c r="F109" s="13" t="s">
        <v>21</v>
      </c>
      <c r="G109" s="13" t="n">
        <v>10</v>
      </c>
      <c r="H109" s="13" t="n">
        <f aca="false">O109+P109+Q109</f>
        <v>8</v>
      </c>
      <c r="I109" s="13" t="n">
        <v>3</v>
      </c>
      <c r="J109" s="16" t="n">
        <f aca="false">IF(G109=0,"",I109/G109)</f>
        <v>0.3</v>
      </c>
      <c r="K109" s="17" t="n">
        <f aca="false">IF(ISNUMBER(E109),IF(E109&gt;0,G109/E109*1000000,""),"")</f>
        <v>5.15881143048166</v>
      </c>
      <c r="L109" s="17" t="n">
        <f aca="false">IF(G109=0,"",H109/G109)</f>
        <v>0.8</v>
      </c>
      <c r="M109" s="13" t="s">
        <v>26</v>
      </c>
      <c r="N109" s="15"/>
      <c r="O109" s="13" t="n">
        <v>3</v>
      </c>
      <c r="P109" s="13" t="n">
        <v>4</v>
      </c>
      <c r="Q109" s="13" t="n">
        <v>1</v>
      </c>
    </row>
    <row r="110" customFormat="false" ht="15" hidden="false" customHeight="true" outlineLevel="0" collapsed="false">
      <c r="A110" s="13" t="s">
        <v>248</v>
      </c>
      <c r="B110" s="13" t="s">
        <v>249</v>
      </c>
      <c r="C110" s="13" t="s">
        <v>29</v>
      </c>
      <c r="D110" s="14" t="s">
        <v>201</v>
      </c>
      <c r="E110" s="15" t="n">
        <v>38430770</v>
      </c>
      <c r="F110" s="13" t="s">
        <v>21</v>
      </c>
      <c r="G110" s="13" t="n">
        <v>10</v>
      </c>
      <c r="H110" s="13" t="n">
        <f aca="false">O110+P110+Q110</f>
        <v>6</v>
      </c>
      <c r="I110" s="13" t="n">
        <v>5</v>
      </c>
      <c r="J110" s="16" t="n">
        <f aca="false">IF(G110=0,"",I110/G110)</f>
        <v>0.5</v>
      </c>
      <c r="K110" s="17" t="n">
        <f aca="false">IF(ISNUMBER(E110),IF(E110&gt;0,G110/E110*1000000,""),"")</f>
        <v>0.260208161324897</v>
      </c>
      <c r="L110" s="17" t="n">
        <f aca="false">IF(G110=0,"",H110/G110)</f>
        <v>0.6</v>
      </c>
      <c r="M110" s="13" t="s">
        <v>36</v>
      </c>
      <c r="N110" s="15"/>
      <c r="O110" s="13" t="n">
        <v>2</v>
      </c>
      <c r="P110" s="13" t="n">
        <v>3</v>
      </c>
      <c r="Q110" s="13" t="n">
        <v>1</v>
      </c>
    </row>
    <row r="111" customFormat="false" ht="15" hidden="false" customHeight="true" outlineLevel="0" collapsed="false">
      <c r="A111" s="13" t="s">
        <v>250</v>
      </c>
      <c r="B111" s="13" t="s">
        <v>251</v>
      </c>
      <c r="C111" s="13" t="s">
        <v>29</v>
      </c>
      <c r="D111" s="14" t="s">
        <v>201</v>
      </c>
      <c r="E111" s="15" t="n">
        <v>12348573</v>
      </c>
      <c r="F111" s="13" t="s">
        <v>21</v>
      </c>
      <c r="G111" s="13" t="n">
        <v>10</v>
      </c>
      <c r="H111" s="13" t="n">
        <f aca="false">O111+P111+Q111</f>
        <v>5</v>
      </c>
      <c r="I111" s="13" t="n">
        <v>5</v>
      </c>
      <c r="J111" s="16" t="n">
        <f aca="false">IF(G111=0,"",I111/G111)</f>
        <v>0.5</v>
      </c>
      <c r="K111" s="17" t="n">
        <f aca="false">IF(ISNUMBER(E111),IF(E111&gt;0,G111/E111*1000000,""),"")</f>
        <v>0.809810169968627</v>
      </c>
      <c r="L111" s="17" t="n">
        <f aca="false">IF(G111=0,"",H111/G111)</f>
        <v>0.5</v>
      </c>
      <c r="M111" s="13" t="s">
        <v>36</v>
      </c>
      <c r="N111" s="15"/>
      <c r="O111" s="13" t="n">
        <v>2</v>
      </c>
      <c r="P111" s="13" t="n">
        <v>2</v>
      </c>
      <c r="Q111" s="13" t="n">
        <v>1</v>
      </c>
    </row>
    <row r="112" customFormat="false" ht="15" hidden="false" customHeight="true" outlineLevel="0" collapsed="false">
      <c r="A112" s="13" t="s">
        <v>252</v>
      </c>
      <c r="B112" s="13" t="s">
        <v>253</v>
      </c>
      <c r="C112" s="13" t="s">
        <v>29</v>
      </c>
      <c r="D112" s="14" t="s">
        <v>201</v>
      </c>
      <c r="E112" s="15" t="n">
        <v>2562122</v>
      </c>
      <c r="F112" s="13" t="s">
        <v>21</v>
      </c>
      <c r="G112" s="13" t="n">
        <v>9</v>
      </c>
      <c r="H112" s="13" t="n">
        <f aca="false">O112+P112+Q112</f>
        <v>7</v>
      </c>
      <c r="I112" s="13" t="n">
        <v>4</v>
      </c>
      <c r="J112" s="16" t="n">
        <f aca="false">IF(G112=0,"",I112/G112)</f>
        <v>0.444444444444444</v>
      </c>
      <c r="K112" s="17" t="n">
        <f aca="false">IF(ISNUMBER(E112),IF(E112&gt;0,G112/E112*1000000,""),"")</f>
        <v>3.51271328999946</v>
      </c>
      <c r="L112" s="17" t="n">
        <f aca="false">IF(G112=0,"",H112/G112)</f>
        <v>0.777777777777778</v>
      </c>
      <c r="M112" s="13" t="s">
        <v>26</v>
      </c>
      <c r="N112" s="15"/>
      <c r="O112" s="13" t="n">
        <v>2</v>
      </c>
      <c r="P112" s="13" t="n">
        <v>4</v>
      </c>
      <c r="Q112" s="13" t="n">
        <v>1</v>
      </c>
    </row>
    <row r="113" customFormat="false" ht="15" hidden="false" customHeight="true" outlineLevel="0" collapsed="false">
      <c r="A113" s="13" t="s">
        <v>254</v>
      </c>
      <c r="B113" s="13" t="s">
        <v>255</v>
      </c>
      <c r="C113" s="13" t="s">
        <v>29</v>
      </c>
      <c r="D113" s="14" t="s">
        <v>201</v>
      </c>
      <c r="E113" s="15" t="n">
        <v>2363325</v>
      </c>
      <c r="F113" s="13" t="s">
        <v>21</v>
      </c>
      <c r="G113" s="13" t="n">
        <v>9</v>
      </c>
      <c r="H113" s="13" t="n">
        <f aca="false">O113+P113+Q113</f>
        <v>5</v>
      </c>
      <c r="I113" s="13" t="n">
        <v>3</v>
      </c>
      <c r="J113" s="16" t="n">
        <f aca="false">IF(G113=0,"",I113/G113)</f>
        <v>0.333333333333333</v>
      </c>
      <c r="K113" s="17" t="n">
        <f aca="false">IF(ISNUMBER(E113),IF(E113&gt;0,G113/E113*1000000,""),"")</f>
        <v>3.80819396401257</v>
      </c>
      <c r="L113" s="17" t="n">
        <f aca="false">IF(G113=0,"",H113/G113)</f>
        <v>0.555555555555556</v>
      </c>
      <c r="M113" s="13" t="s">
        <v>36</v>
      </c>
      <c r="N113" s="15"/>
      <c r="O113" s="13" t="n">
        <v>2</v>
      </c>
      <c r="P113" s="13" t="n">
        <v>1</v>
      </c>
      <c r="Q113" s="13" t="n">
        <v>2</v>
      </c>
    </row>
    <row r="114" customFormat="false" ht="15" hidden="false" customHeight="true" outlineLevel="0" collapsed="false">
      <c r="A114" s="13" t="s">
        <v>256</v>
      </c>
      <c r="B114" s="13" t="s">
        <v>257</v>
      </c>
      <c r="C114" s="13" t="s">
        <v>29</v>
      </c>
      <c r="D114" s="14" t="s">
        <v>201</v>
      </c>
      <c r="E114" s="15" t="n">
        <v>1243741</v>
      </c>
      <c r="F114" s="13" t="s">
        <v>21</v>
      </c>
      <c r="G114" s="13" t="n">
        <v>9</v>
      </c>
      <c r="H114" s="13" t="n">
        <f aca="false">O114+P114+Q114</f>
        <v>8</v>
      </c>
      <c r="I114" s="13" t="n">
        <v>1</v>
      </c>
      <c r="J114" s="16" t="n">
        <f aca="false">IF(G114=0,"",I114/G114)</f>
        <v>0.111111111111111</v>
      </c>
      <c r="K114" s="17" t="n">
        <f aca="false">IF(ISNUMBER(E114),IF(E114&gt;0,G114/E114*1000000,""),"")</f>
        <v>7.2362332672156</v>
      </c>
      <c r="L114" s="17" t="n">
        <f aca="false">IF(G114=0,"",H114/G114)</f>
        <v>0.888888888888889</v>
      </c>
      <c r="M114" s="13" t="s">
        <v>26</v>
      </c>
      <c r="N114" s="15"/>
      <c r="O114" s="13" t="n">
        <v>3</v>
      </c>
      <c r="P114" s="13" t="n">
        <v>5</v>
      </c>
      <c r="Q114" s="13" t="n">
        <v>0</v>
      </c>
    </row>
    <row r="115" customFormat="false" ht="15" hidden="false" customHeight="true" outlineLevel="0" collapsed="false">
      <c r="A115" s="13" t="s">
        <v>258</v>
      </c>
      <c r="B115" s="13" t="s">
        <v>259</v>
      </c>
      <c r="C115" s="13" t="s">
        <v>29</v>
      </c>
      <c r="D115" s="14" t="s">
        <v>201</v>
      </c>
      <c r="E115" s="15" t="n">
        <v>1256174</v>
      </c>
      <c r="F115" s="13" t="s">
        <v>21</v>
      </c>
      <c r="G115" s="13" t="n">
        <v>9</v>
      </c>
      <c r="H115" s="13" t="n">
        <f aca="false">O115+P115+Q115</f>
        <v>6</v>
      </c>
      <c r="I115" s="13" t="n">
        <v>4</v>
      </c>
      <c r="J115" s="16" t="n">
        <f aca="false">IF(G115=0,"",I115/G115)</f>
        <v>0.444444444444444</v>
      </c>
      <c r="K115" s="17" t="n">
        <f aca="false">IF(ISNUMBER(E115),IF(E115&gt;0,G115/E115*1000000,""),"")</f>
        <v>7.16461254571421</v>
      </c>
      <c r="L115" s="17" t="n">
        <f aca="false">IF(G115=0,"",H115/G115)</f>
        <v>0.666666666666667</v>
      </c>
      <c r="M115" s="13" t="s">
        <v>36</v>
      </c>
      <c r="N115" s="15"/>
      <c r="O115" s="13" t="n">
        <v>1</v>
      </c>
      <c r="P115" s="13" t="n">
        <v>3</v>
      </c>
      <c r="Q115" s="13" t="n">
        <v>2</v>
      </c>
    </row>
    <row r="116" customFormat="false" ht="15" hidden="false" customHeight="true" outlineLevel="0" collapsed="false">
      <c r="A116" s="13" t="s">
        <v>260</v>
      </c>
      <c r="B116" s="13" t="s">
        <v>261</v>
      </c>
      <c r="C116" s="13" t="s">
        <v>29</v>
      </c>
      <c r="D116" s="14" t="s">
        <v>201</v>
      </c>
      <c r="E116" s="15" t="n">
        <v>39040039</v>
      </c>
      <c r="F116" s="13" t="s">
        <v>21</v>
      </c>
      <c r="G116" s="13" t="n">
        <v>8</v>
      </c>
      <c r="H116" s="13" t="n">
        <f aca="false">O116+P116+Q116</f>
        <v>2</v>
      </c>
      <c r="I116" s="13" t="n">
        <v>5</v>
      </c>
      <c r="J116" s="16" t="n">
        <f aca="false">IF(G116=0,"",I116/G116)</f>
        <v>0.625</v>
      </c>
      <c r="K116" s="17" t="n">
        <f aca="false">IF(ISNUMBER(E116),IF(E116&gt;0,G116/E116*1000000,""),"")</f>
        <v>0.204917828079014</v>
      </c>
      <c r="L116" s="17" t="n">
        <f aca="false">IF(G116=0,"",H116/G116)</f>
        <v>0.25</v>
      </c>
      <c r="M116" s="13" t="s">
        <v>36</v>
      </c>
      <c r="N116" s="15"/>
      <c r="O116" s="13" t="n">
        <v>1</v>
      </c>
      <c r="P116" s="13" t="n">
        <v>1</v>
      </c>
      <c r="Q116" s="13" t="n">
        <v>0</v>
      </c>
    </row>
    <row r="117" customFormat="false" ht="15" hidden="false" customHeight="true" outlineLevel="0" collapsed="false">
      <c r="A117" s="13" t="s">
        <v>262</v>
      </c>
      <c r="B117" s="13" t="s">
        <v>263</v>
      </c>
      <c r="C117" s="13" t="s">
        <v>29</v>
      </c>
      <c r="D117" s="14" t="s">
        <v>201</v>
      </c>
      <c r="E117" s="15" t="n">
        <v>6484437</v>
      </c>
      <c r="F117" s="13" t="s">
        <v>21</v>
      </c>
      <c r="G117" s="13" t="n">
        <v>8</v>
      </c>
      <c r="H117" s="13" t="n">
        <f aca="false">O117+P117+Q117</f>
        <v>7</v>
      </c>
      <c r="I117" s="13" t="n">
        <v>0</v>
      </c>
      <c r="J117" s="16" t="n">
        <f aca="false">IF(G117=0,"",I117/G117)</f>
        <v>0</v>
      </c>
      <c r="K117" s="17" t="n">
        <f aca="false">IF(ISNUMBER(E117),IF(E117&gt;0,G117/E117*1000000,""),"")</f>
        <v>1.23372314358209</v>
      </c>
      <c r="L117" s="17" t="n">
        <f aca="false">IF(G117=0,"",H117/G117)</f>
        <v>0.875</v>
      </c>
      <c r="M117" s="13" t="s">
        <v>36</v>
      </c>
      <c r="N117" s="15"/>
      <c r="O117" s="13" t="n">
        <v>5</v>
      </c>
      <c r="P117" s="13" t="n">
        <v>1</v>
      </c>
      <c r="Q117" s="13" t="n">
        <v>1</v>
      </c>
    </row>
    <row r="118" customFormat="false" ht="15" hidden="false" customHeight="true" outlineLevel="0" collapsed="false">
      <c r="A118" s="13" t="s">
        <v>264</v>
      </c>
      <c r="B118" s="13" t="s">
        <v>265</v>
      </c>
      <c r="C118" s="13" t="s">
        <v>29</v>
      </c>
      <c r="D118" s="14" t="s">
        <v>201</v>
      </c>
      <c r="E118" s="15" t="n">
        <v>47435312</v>
      </c>
      <c r="F118" s="13" t="s">
        <v>21</v>
      </c>
      <c r="G118" s="13" t="n">
        <v>8</v>
      </c>
      <c r="H118" s="13" t="n">
        <f aca="false">O118+P118+Q118</f>
        <v>5</v>
      </c>
      <c r="I118" s="13" t="n">
        <v>3</v>
      </c>
      <c r="J118" s="16" t="n">
        <f aca="false">IF(G118=0,"",I118/G118)</f>
        <v>0.375</v>
      </c>
      <c r="K118" s="17" t="n">
        <f aca="false">IF(ISNUMBER(E118),IF(E118&gt;0,G118/E118*1000000,""),"")</f>
        <v>0.168650730072145</v>
      </c>
      <c r="L118" s="17" t="n">
        <f aca="false">IF(G118=0,"",H118/G118)</f>
        <v>0.625</v>
      </c>
      <c r="M118" s="13" t="s">
        <v>26</v>
      </c>
      <c r="N118" s="15"/>
      <c r="O118" s="13" t="n">
        <v>3</v>
      </c>
      <c r="P118" s="13" t="n">
        <v>1</v>
      </c>
      <c r="Q118" s="13" t="n">
        <v>1</v>
      </c>
    </row>
    <row r="119" customFormat="false" ht="15" hidden="false" customHeight="true" outlineLevel="0" collapsed="false">
      <c r="A119" s="13" t="s">
        <v>266</v>
      </c>
      <c r="B119" s="13" t="s">
        <v>267</v>
      </c>
      <c r="C119" s="13" t="s">
        <v>29</v>
      </c>
      <c r="D119" s="14" t="s">
        <v>201</v>
      </c>
      <c r="E119" s="15" t="n">
        <v>15099727</v>
      </c>
      <c r="F119" s="13" t="s">
        <v>21</v>
      </c>
      <c r="G119" s="13" t="n">
        <v>8</v>
      </c>
      <c r="H119" s="13" t="n">
        <f aca="false">O119+P119+Q119</f>
        <v>3</v>
      </c>
      <c r="I119" s="13" t="n">
        <v>4</v>
      </c>
      <c r="J119" s="16" t="n">
        <f aca="false">IF(G119=0,"",I119/G119)</f>
        <v>0.5</v>
      </c>
      <c r="K119" s="17" t="n">
        <f aca="false">IF(ISNUMBER(E119),IF(E119&gt;0,G119/E119*1000000,""),"")</f>
        <v>0.529810903203747</v>
      </c>
      <c r="L119" s="17" t="n">
        <f aca="false">IF(G119=0,"",H119/G119)</f>
        <v>0.375</v>
      </c>
      <c r="M119" s="13" t="s">
        <v>36</v>
      </c>
      <c r="N119" s="15"/>
      <c r="O119" s="13" t="n">
        <v>1</v>
      </c>
      <c r="P119" s="13" t="n">
        <v>2</v>
      </c>
      <c r="Q119" s="13" t="n">
        <v>0</v>
      </c>
    </row>
    <row r="120" customFormat="false" ht="15" hidden="false" customHeight="true" outlineLevel="0" collapsed="false">
      <c r="A120" s="13" t="s">
        <v>268</v>
      </c>
      <c r="B120" s="13" t="s">
        <v>269</v>
      </c>
      <c r="C120" s="13" t="s">
        <v>29</v>
      </c>
      <c r="D120" s="14" t="s">
        <v>201</v>
      </c>
      <c r="E120" s="15" t="n">
        <v>240254</v>
      </c>
      <c r="F120" s="13" t="s">
        <v>21</v>
      </c>
      <c r="G120" s="13" t="n">
        <v>8</v>
      </c>
      <c r="H120" s="13" t="n">
        <f aca="false">O120+P120+Q120</f>
        <v>5</v>
      </c>
      <c r="I120" s="13" t="n">
        <v>2</v>
      </c>
      <c r="J120" s="16" t="n">
        <f aca="false">IF(G120=0,"",I120/G120)</f>
        <v>0.25</v>
      </c>
      <c r="K120" s="17" t="n">
        <f aca="false">IF(ISNUMBER(E120),IF(E120&gt;0,G120/E120*1000000,""),"")</f>
        <v>33.2980928517319</v>
      </c>
      <c r="L120" s="17" t="n">
        <f aca="false">IF(G120=0,"",H120/G120)</f>
        <v>0.625</v>
      </c>
      <c r="M120" s="13" t="s">
        <v>36</v>
      </c>
      <c r="N120" s="15"/>
      <c r="O120" s="13" t="n">
        <v>1</v>
      </c>
      <c r="P120" s="13" t="n">
        <v>4</v>
      </c>
      <c r="Q120" s="13" t="n">
        <v>0</v>
      </c>
    </row>
    <row r="121" customFormat="false" ht="15" hidden="false" customHeight="true" outlineLevel="0" collapsed="false">
      <c r="A121" s="13" t="s">
        <v>270</v>
      </c>
      <c r="B121" s="13" t="s">
        <v>271</v>
      </c>
      <c r="C121" s="13" t="s">
        <v>29</v>
      </c>
      <c r="D121" s="14" t="s">
        <v>201</v>
      </c>
      <c r="E121" s="15" t="n">
        <v>3092816</v>
      </c>
      <c r="F121" s="13" t="s">
        <v>21</v>
      </c>
      <c r="G121" s="13" t="n">
        <v>7</v>
      </c>
      <c r="H121" s="13" t="n">
        <f aca="false">O121+P121+Q121</f>
        <v>5</v>
      </c>
      <c r="I121" s="13" t="n">
        <v>1</v>
      </c>
      <c r="J121" s="16" t="n">
        <f aca="false">IF(G121=0,"",I121/G121)</f>
        <v>0.142857142857143</v>
      </c>
      <c r="K121" s="17" t="n">
        <f aca="false">IF(ISNUMBER(E121),IF(E121&gt;0,G121/E121*1000000,""),"")</f>
        <v>2.26330955349429</v>
      </c>
      <c r="L121" s="17" t="n">
        <f aca="false">IF(G121=0,"",H121/G121)</f>
        <v>0.714285714285714</v>
      </c>
      <c r="M121" s="13" t="s">
        <v>36</v>
      </c>
      <c r="N121" s="15"/>
      <c r="O121" s="13" t="n">
        <v>2</v>
      </c>
      <c r="P121" s="13" t="n">
        <v>2</v>
      </c>
      <c r="Q121" s="13" t="n">
        <v>1</v>
      </c>
    </row>
    <row r="122" customFormat="false" ht="15" hidden="false" customHeight="true" outlineLevel="0" collapsed="false">
      <c r="A122" s="13" t="s">
        <v>272</v>
      </c>
      <c r="B122" s="13" t="s">
        <v>273</v>
      </c>
      <c r="C122" s="13" t="s">
        <v>29</v>
      </c>
      <c r="D122" s="14" t="s">
        <v>201</v>
      </c>
      <c r="E122" s="15" t="n">
        <v>18931966</v>
      </c>
      <c r="F122" s="13" t="s">
        <v>21</v>
      </c>
      <c r="G122" s="13" t="n">
        <v>7</v>
      </c>
      <c r="H122" s="13" t="n">
        <f aca="false">O122+P122+Q122</f>
        <v>8</v>
      </c>
      <c r="I122" s="13" t="n">
        <v>1</v>
      </c>
      <c r="J122" s="16" t="n">
        <f aca="false">IF(G122=0,"",I122/G122)</f>
        <v>0.142857142857143</v>
      </c>
      <c r="K122" s="17" t="n">
        <f aca="false">IF(ISNUMBER(E122),IF(E122&gt;0,G122/E122*1000000,""),"")</f>
        <v>0.369745012219016</v>
      </c>
      <c r="L122" s="17" t="n">
        <f aca="false">IF(G122=0,"",H122/G122)</f>
        <v>1.14285714285714</v>
      </c>
      <c r="M122" s="13" t="s">
        <v>36</v>
      </c>
      <c r="N122" s="15"/>
      <c r="O122" s="13" t="n">
        <v>3</v>
      </c>
      <c r="P122" s="13" t="n">
        <v>5</v>
      </c>
      <c r="Q122" s="13" t="n">
        <v>0</v>
      </c>
    </row>
    <row r="123" customFormat="false" ht="15" hidden="false" customHeight="true" outlineLevel="0" collapsed="false">
      <c r="A123" s="13" t="s">
        <v>274</v>
      </c>
      <c r="B123" s="13" t="s">
        <v>275</v>
      </c>
      <c r="C123" s="13" t="s">
        <v>29</v>
      </c>
      <c r="D123" s="14" t="s">
        <v>201</v>
      </c>
      <c r="E123" s="15" t="n">
        <v>21913874</v>
      </c>
      <c r="F123" s="13" t="s">
        <v>21</v>
      </c>
      <c r="G123" s="13" t="n">
        <v>7</v>
      </c>
      <c r="H123" s="13" t="n">
        <f aca="false">O123+P123+Q123</f>
        <v>5</v>
      </c>
      <c r="I123" s="13" t="n">
        <v>2</v>
      </c>
      <c r="J123" s="16" t="n">
        <f aca="false">IF(G123=0,"",I123/G123)</f>
        <v>0.285714285714286</v>
      </c>
      <c r="K123" s="17" t="n">
        <f aca="false">IF(ISNUMBER(E123),IF(E123&gt;0,G123/E123*1000000,""),"")</f>
        <v>0.319432337705328</v>
      </c>
      <c r="L123" s="17" t="n">
        <f aca="false">IF(G123=0,"",H123/G123)</f>
        <v>0.714285714285714</v>
      </c>
      <c r="M123" s="13" t="s">
        <v>36</v>
      </c>
      <c r="N123" s="15"/>
      <c r="O123" s="13" t="n">
        <v>3</v>
      </c>
      <c r="P123" s="13" t="n">
        <v>1</v>
      </c>
      <c r="Q123" s="13" t="n">
        <v>1</v>
      </c>
    </row>
    <row r="124" customFormat="false" ht="15" hidden="false" customHeight="true" outlineLevel="0" collapsed="false">
      <c r="A124" s="13" t="s">
        <v>276</v>
      </c>
      <c r="B124" s="13" t="s">
        <v>277</v>
      </c>
      <c r="C124" s="13" t="s">
        <v>29</v>
      </c>
      <c r="D124" s="14" t="s">
        <v>201</v>
      </c>
      <c r="E124" s="15" t="n">
        <v>16950795</v>
      </c>
      <c r="F124" s="13" t="s">
        <v>21</v>
      </c>
      <c r="G124" s="13" t="n">
        <v>7</v>
      </c>
      <c r="H124" s="13" t="n">
        <f aca="false">O124+P124+Q124</f>
        <v>4</v>
      </c>
      <c r="I124" s="13" t="n">
        <v>1</v>
      </c>
      <c r="J124" s="16" t="n">
        <f aca="false">IF(G124=0,"",I124/G124)</f>
        <v>0.142857142857143</v>
      </c>
      <c r="K124" s="17" t="n">
        <f aca="false">IF(ISNUMBER(E124),IF(E124&gt;0,G124/E124*1000000,""),"")</f>
        <v>0.412959982112933</v>
      </c>
      <c r="L124" s="17" t="n">
        <f aca="false">IF(G124=0,"",H124/G124)</f>
        <v>0.571428571428571</v>
      </c>
      <c r="M124" s="13" t="s">
        <v>36</v>
      </c>
      <c r="N124" s="15"/>
      <c r="O124" s="13" t="n">
        <v>2</v>
      </c>
      <c r="P124" s="13" t="n">
        <v>1</v>
      </c>
      <c r="Q124" s="13" t="n">
        <v>1</v>
      </c>
    </row>
    <row r="125" customFormat="false" ht="15" hidden="false" customHeight="true" outlineLevel="0" collapsed="false">
      <c r="A125" s="13" t="s">
        <v>278</v>
      </c>
      <c r="B125" s="13" t="s">
        <v>279</v>
      </c>
      <c r="C125" s="13" t="s">
        <v>29</v>
      </c>
      <c r="D125" s="14" t="s">
        <v>201</v>
      </c>
      <c r="E125" s="15" t="n">
        <v>14814460</v>
      </c>
      <c r="F125" s="13" t="s">
        <v>21</v>
      </c>
      <c r="G125" s="13" t="n">
        <v>6</v>
      </c>
      <c r="H125" s="13" t="n">
        <f aca="false">O125+P125+Q125</f>
        <v>5</v>
      </c>
      <c r="I125" s="13" t="n">
        <v>1</v>
      </c>
      <c r="J125" s="16" t="n">
        <f aca="false">IF(G125=0,"",I125/G125)</f>
        <v>0.166666666666667</v>
      </c>
      <c r="K125" s="17" t="n">
        <f aca="false">IF(ISNUMBER(E125),IF(E125&gt;0,G125/E125*1000000,""),"")</f>
        <v>0.405009699982315</v>
      </c>
      <c r="L125" s="17" t="n">
        <f aca="false">IF(G125=0,"",H125/G125)</f>
        <v>0.833333333333333</v>
      </c>
      <c r="M125" s="13" t="s">
        <v>36</v>
      </c>
      <c r="N125" s="15"/>
      <c r="O125" s="13" t="n">
        <v>2</v>
      </c>
      <c r="P125" s="13" t="n">
        <v>3</v>
      </c>
      <c r="Q125" s="13" t="n">
        <v>0</v>
      </c>
    </row>
    <row r="126" customFormat="false" ht="15" hidden="false" customHeight="true" outlineLevel="0" collapsed="false">
      <c r="A126" s="13" t="s">
        <v>280</v>
      </c>
      <c r="B126" s="13" t="s">
        <v>281</v>
      </c>
      <c r="C126" s="13" t="s">
        <v>29</v>
      </c>
      <c r="D126" s="14" t="s">
        <v>201</v>
      </c>
      <c r="E126" s="15" t="n">
        <v>32711547</v>
      </c>
      <c r="F126" s="13" t="s">
        <v>21</v>
      </c>
      <c r="G126" s="13" t="n">
        <v>6</v>
      </c>
      <c r="H126" s="13" t="n">
        <f aca="false">O126+P126+Q126</f>
        <v>6</v>
      </c>
      <c r="I126" s="13" t="n">
        <v>1</v>
      </c>
      <c r="J126" s="16" t="n">
        <f aca="false">IF(G126=0,"",I126/G126)</f>
        <v>0.166666666666667</v>
      </c>
      <c r="K126" s="17" t="n">
        <f aca="false">IF(ISNUMBER(E126),IF(E126&gt;0,G126/E126*1000000,""),"")</f>
        <v>0.183421468877641</v>
      </c>
      <c r="L126" s="17" t="n">
        <f aca="false">IF(G126=0,"",H126/G126)</f>
        <v>1</v>
      </c>
      <c r="M126" s="13" t="s">
        <v>36</v>
      </c>
      <c r="N126" s="15"/>
      <c r="O126" s="13" t="n">
        <v>3</v>
      </c>
      <c r="P126" s="13" t="n">
        <v>3</v>
      </c>
      <c r="Q126" s="13" t="n">
        <v>0</v>
      </c>
    </row>
    <row r="127" customFormat="false" ht="15" hidden="false" customHeight="true" outlineLevel="0" collapsed="false">
      <c r="A127" s="13" t="s">
        <v>282</v>
      </c>
      <c r="B127" s="13" t="s">
        <v>283</v>
      </c>
      <c r="C127" s="13" t="s">
        <v>29</v>
      </c>
      <c r="D127" s="14" t="s">
        <v>201</v>
      </c>
      <c r="E127" s="15" t="n">
        <v>2593130</v>
      </c>
      <c r="F127" s="13" t="s">
        <v>21</v>
      </c>
      <c r="G127" s="13" t="n">
        <v>6</v>
      </c>
      <c r="H127" s="13" t="n">
        <f aca="false">O127+P127+Q127</f>
        <v>6</v>
      </c>
      <c r="I127" s="13" t="n">
        <v>1</v>
      </c>
      <c r="J127" s="16" t="n">
        <f aca="false">IF(G127=0,"",I127/G127)</f>
        <v>0.166666666666667</v>
      </c>
      <c r="K127" s="17" t="n">
        <f aca="false">IF(ISNUMBER(E127),IF(E127&gt;0,G127/E127*1000000,""),"")</f>
        <v>2.31380609533652</v>
      </c>
      <c r="L127" s="17" t="n">
        <f aca="false">IF(G127=0,"",H127/G127)</f>
        <v>1</v>
      </c>
      <c r="M127" s="13" t="s">
        <v>26</v>
      </c>
      <c r="N127" s="15"/>
      <c r="O127" s="13" t="n">
        <v>3</v>
      </c>
      <c r="P127" s="13" t="n">
        <v>2</v>
      </c>
      <c r="Q127" s="13" t="n">
        <v>1</v>
      </c>
    </row>
    <row r="128" customFormat="false" ht="15" hidden="false" customHeight="true" outlineLevel="0" collapsed="false">
      <c r="A128" s="13" t="s">
        <v>284</v>
      </c>
      <c r="B128" s="13" t="s">
        <v>285</v>
      </c>
      <c r="C128" s="13" t="s">
        <v>29</v>
      </c>
      <c r="D128" s="14" t="s">
        <v>201</v>
      </c>
      <c r="E128" s="15" t="n">
        <v>7458555</v>
      </c>
      <c r="F128" s="13" t="s">
        <v>21</v>
      </c>
      <c r="G128" s="13" t="n">
        <v>6</v>
      </c>
      <c r="H128" s="13" t="n">
        <f aca="false">O128+P128+Q128</f>
        <v>2</v>
      </c>
      <c r="I128" s="13" t="n">
        <v>5</v>
      </c>
      <c r="J128" s="16" t="n">
        <f aca="false">IF(G128=0,"",I128/G128)</f>
        <v>0.833333333333333</v>
      </c>
      <c r="K128" s="17" t="n">
        <f aca="false">IF(ISNUMBER(E128),IF(E128&gt;0,G128/E128*1000000,""),"")</f>
        <v>0.804445365087473</v>
      </c>
      <c r="L128" s="17" t="n">
        <f aca="false">IF(G128=0,"",H128/G128)</f>
        <v>0.333333333333333</v>
      </c>
      <c r="M128" s="13" t="s">
        <v>26</v>
      </c>
      <c r="N128" s="15"/>
      <c r="O128" s="13" t="n">
        <v>0</v>
      </c>
      <c r="P128" s="13" t="n">
        <v>0</v>
      </c>
      <c r="Q128" s="13" t="n">
        <v>2</v>
      </c>
    </row>
    <row r="129" customFormat="false" ht="15" hidden="false" customHeight="true" outlineLevel="0" collapsed="false">
      <c r="A129" s="13" t="s">
        <v>286</v>
      </c>
      <c r="B129" s="13" t="s">
        <v>287</v>
      </c>
      <c r="C129" s="13" t="s">
        <v>64</v>
      </c>
      <c r="D129" s="14" t="s">
        <v>201</v>
      </c>
      <c r="E129" s="15" t="n">
        <v>9085991</v>
      </c>
      <c r="F129" s="13" t="s">
        <v>21</v>
      </c>
      <c r="G129" s="13" t="n">
        <v>5</v>
      </c>
      <c r="H129" s="13" t="n">
        <f aca="false">O129+P129+Q129</f>
        <v>5</v>
      </c>
      <c r="I129" s="13" t="n">
        <v>0</v>
      </c>
      <c r="J129" s="16" t="n">
        <f aca="false">IF(G129=0,"",I129/G129)</f>
        <v>0</v>
      </c>
      <c r="K129" s="17" t="n">
        <f aca="false">IF(ISNUMBER(E129),IF(E129&gt;0,G129/E129*1000000,""),"")</f>
        <v>0.550297705555729</v>
      </c>
      <c r="L129" s="17" t="n">
        <f aca="false">IF(G129=0,"",H129/G129)</f>
        <v>1</v>
      </c>
      <c r="M129" s="13" t="s">
        <v>26</v>
      </c>
      <c r="N129" s="15"/>
      <c r="O129" s="13" t="n">
        <v>0</v>
      </c>
      <c r="P129" s="13" t="n">
        <v>5</v>
      </c>
      <c r="Q129" s="13" t="n">
        <v>0</v>
      </c>
    </row>
    <row r="130" customFormat="false" ht="15" hidden="false" customHeight="true" outlineLevel="0" collapsed="false">
      <c r="A130" s="13" t="s">
        <v>288</v>
      </c>
      <c r="B130" s="13" t="s">
        <v>289</v>
      </c>
      <c r="C130" s="13" t="s">
        <v>29</v>
      </c>
      <c r="D130" s="14" t="s">
        <v>201</v>
      </c>
      <c r="E130" s="15" t="n">
        <v>527326</v>
      </c>
      <c r="F130" s="13" t="s">
        <v>21</v>
      </c>
      <c r="G130" s="13" t="n">
        <v>5</v>
      </c>
      <c r="H130" s="13" t="n">
        <f aca="false">O130+P130+Q130</f>
        <v>2</v>
      </c>
      <c r="I130" s="13" t="n">
        <v>2</v>
      </c>
      <c r="J130" s="16" t="n">
        <f aca="false">IF(G130=0,"",I130/G130)</f>
        <v>0.4</v>
      </c>
      <c r="K130" s="17" t="n">
        <f aca="false">IF(ISNUMBER(E130),IF(E130&gt;0,G130/E130*1000000,""),"")</f>
        <v>9.4818006318672</v>
      </c>
      <c r="L130" s="17" t="n">
        <f aca="false">IF(G130=0,"",H130/G130)</f>
        <v>0.4</v>
      </c>
      <c r="M130" s="13" t="s">
        <v>26</v>
      </c>
      <c r="N130" s="15"/>
      <c r="O130" s="13" t="n">
        <v>1</v>
      </c>
      <c r="P130" s="13" t="n">
        <v>1</v>
      </c>
      <c r="Q130" s="13" t="n">
        <v>0</v>
      </c>
    </row>
    <row r="131" customFormat="false" ht="15" hidden="false" customHeight="true" outlineLevel="0" collapsed="false">
      <c r="A131" s="13" t="s">
        <v>290</v>
      </c>
      <c r="B131" s="13" t="s">
        <v>291</v>
      </c>
      <c r="C131" s="13" t="s">
        <v>19</v>
      </c>
      <c r="D131" s="14" t="s">
        <v>201</v>
      </c>
      <c r="E131" s="15" t="n">
        <v>21756000</v>
      </c>
      <c r="F131" s="13" t="s">
        <v>21</v>
      </c>
      <c r="G131" s="13" t="n">
        <v>5</v>
      </c>
      <c r="H131" s="13" t="n">
        <f aca="false">O131+P131+Q131</f>
        <v>6</v>
      </c>
      <c r="I131" s="13" t="n">
        <v>2</v>
      </c>
      <c r="J131" s="16" t="n">
        <f aca="false">IF(G131=0,"",I131/G131)</f>
        <v>0.4</v>
      </c>
      <c r="K131" s="17" t="n">
        <f aca="false">IF(ISNUMBER(E131),IF(E131&gt;0,G131/E131*1000000,""),"")</f>
        <v>0.229821658393087</v>
      </c>
      <c r="L131" s="17" t="n">
        <f aca="false">IF(G131=0,"",H131/G131)</f>
        <v>1.2</v>
      </c>
      <c r="M131" s="13" t="s">
        <v>26</v>
      </c>
      <c r="N131" s="15"/>
      <c r="O131" s="13" t="n">
        <v>0</v>
      </c>
      <c r="P131" s="13" t="n">
        <v>6</v>
      </c>
      <c r="Q131" s="13" t="n">
        <v>0</v>
      </c>
    </row>
    <row r="132" customFormat="false" ht="15" hidden="false" customHeight="true" outlineLevel="0" collapsed="false">
      <c r="A132" s="13" t="s">
        <v>292</v>
      </c>
      <c r="B132" s="13" t="s">
        <v>293</v>
      </c>
      <c r="C132" s="13" t="s">
        <v>64</v>
      </c>
      <c r="D132" s="14" t="s">
        <v>201</v>
      </c>
      <c r="E132" s="15" t="n">
        <v>2349580</v>
      </c>
      <c r="F132" s="13" t="s">
        <v>21</v>
      </c>
      <c r="G132" s="13" t="n">
        <v>4</v>
      </c>
      <c r="H132" s="13" t="n">
        <f aca="false">O132+P132+Q132</f>
        <v>6</v>
      </c>
      <c r="I132" s="13" t="n">
        <v>0</v>
      </c>
      <c r="J132" s="16" t="n">
        <f aca="false">IF(G132=0,"",I132/G132)</f>
        <v>0</v>
      </c>
      <c r="K132" s="17" t="n">
        <f aca="false">IF(ISNUMBER(E132),IF(E132&gt;0,G132/E132*1000000,""),"")</f>
        <v>1.70243192400344</v>
      </c>
      <c r="L132" s="17" t="n">
        <f aca="false">IF(G132=0,"",H132/G132)</f>
        <v>1.5</v>
      </c>
      <c r="M132" s="13" t="s">
        <v>26</v>
      </c>
      <c r="N132" s="15"/>
      <c r="O132" s="13" t="n">
        <v>2</v>
      </c>
      <c r="P132" s="13" t="n">
        <v>4</v>
      </c>
      <c r="Q132" s="13" t="n">
        <v>0</v>
      </c>
    </row>
    <row r="133" customFormat="false" ht="15" hidden="false" customHeight="true" outlineLevel="0" collapsed="false">
      <c r="A133" s="13" t="s">
        <v>294</v>
      </c>
      <c r="B133" s="13" t="s">
        <v>295</v>
      </c>
      <c r="C133" s="13" t="s">
        <v>19</v>
      </c>
      <c r="D133" s="14" t="s">
        <v>201</v>
      </c>
      <c r="E133" s="15" t="n">
        <v>3086700</v>
      </c>
      <c r="F133" s="13" t="s">
        <v>21</v>
      </c>
      <c r="G133" s="13" t="n">
        <v>4</v>
      </c>
      <c r="H133" s="13" t="n">
        <f aca="false">O133+P133+Q133</f>
        <v>6</v>
      </c>
      <c r="I133" s="13" t="n">
        <v>0</v>
      </c>
      <c r="J133" s="16" t="n">
        <f aca="false">IF(G133=0,"",I133/G133)</f>
        <v>0</v>
      </c>
      <c r="K133" s="17" t="n">
        <f aca="false">IF(ISNUMBER(E133),IF(E133&gt;0,G133/E133*1000000,""),"")</f>
        <v>1.29588233388408</v>
      </c>
      <c r="L133" s="17" t="n">
        <f aca="false">IF(G133=0,"",H133/G133)</f>
        <v>1.5</v>
      </c>
      <c r="M133" s="13" t="s">
        <v>26</v>
      </c>
      <c r="N133" s="15"/>
      <c r="O133" s="13" t="n">
        <v>0</v>
      </c>
      <c r="P133" s="13" t="n">
        <v>6</v>
      </c>
      <c r="Q133" s="13" t="n">
        <v>0</v>
      </c>
    </row>
    <row r="134" customFormat="false" ht="15" hidden="false" customHeight="true" outlineLevel="0" collapsed="false">
      <c r="A134" s="13" t="s">
        <v>296</v>
      </c>
      <c r="B134" s="13" t="s">
        <v>297</v>
      </c>
      <c r="C134" s="13" t="s">
        <v>25</v>
      </c>
      <c r="D134" s="14" t="s">
        <v>201</v>
      </c>
      <c r="E134" s="15" t="n">
        <v>11520487</v>
      </c>
      <c r="F134" s="13" t="s">
        <v>21</v>
      </c>
      <c r="G134" s="13" t="n">
        <v>4</v>
      </c>
      <c r="H134" s="13" t="n">
        <f aca="false">O134+P134+Q134</f>
        <v>4</v>
      </c>
      <c r="I134" s="13" t="n">
        <v>1</v>
      </c>
      <c r="J134" s="16" t="n">
        <f aca="false">IF(G134=0,"",I134/G134)</f>
        <v>0.25</v>
      </c>
      <c r="K134" s="17" t="n">
        <f aca="false">IF(ISNUMBER(E134),IF(E134&gt;0,G134/E134*1000000,""),"")</f>
        <v>0.347207544264405</v>
      </c>
      <c r="L134" s="17" t="n">
        <f aca="false">IF(G134=0,"",H134/G134)</f>
        <v>1</v>
      </c>
      <c r="M134" s="13" t="s">
        <v>26</v>
      </c>
      <c r="N134" s="15"/>
      <c r="O134" s="13" t="n">
        <v>0</v>
      </c>
      <c r="P134" s="13" t="n">
        <v>4</v>
      </c>
      <c r="Q134" s="13" t="n">
        <v>0</v>
      </c>
    </row>
    <row r="135" customFormat="false" ht="15" hidden="false" customHeight="true" outlineLevel="0" collapsed="false">
      <c r="A135" s="13" t="s">
        <v>298</v>
      </c>
      <c r="B135" s="13" t="s">
        <v>299</v>
      </c>
      <c r="C135" s="13" t="s">
        <v>92</v>
      </c>
      <c r="D135" s="14" t="s">
        <v>201</v>
      </c>
      <c r="E135" s="15" t="n">
        <v>933154</v>
      </c>
      <c r="F135" s="13" t="s">
        <v>21</v>
      </c>
      <c r="G135" s="13" t="n">
        <v>4</v>
      </c>
      <c r="H135" s="13" t="n">
        <f aca="false">O135+P135+Q135</f>
        <v>4</v>
      </c>
      <c r="I135" s="13" t="n">
        <v>0</v>
      </c>
      <c r="J135" s="16" t="n">
        <f aca="false">IF(G135=0,"",I135/G135)</f>
        <v>0</v>
      </c>
      <c r="K135" s="17" t="n">
        <f aca="false">IF(ISNUMBER(E135),IF(E135&gt;0,G135/E135*1000000,""),"")</f>
        <v>4.28653791335621</v>
      </c>
      <c r="L135" s="17" t="n">
        <f aca="false">IF(G135=0,"",H135/G135)</f>
        <v>1</v>
      </c>
      <c r="M135" s="13" t="s">
        <v>26</v>
      </c>
      <c r="N135" s="15"/>
      <c r="O135" s="13" t="n">
        <v>2</v>
      </c>
      <c r="P135" s="13" t="n">
        <v>2</v>
      </c>
      <c r="Q135" s="13" t="n">
        <v>0</v>
      </c>
    </row>
    <row r="136" customFormat="false" ht="15" hidden="false" customHeight="true" outlineLevel="0" collapsed="false">
      <c r="A136" s="13" t="s">
        <v>300</v>
      </c>
      <c r="B136" s="13" t="s">
        <v>301</v>
      </c>
      <c r="C136" s="13" t="s">
        <v>19</v>
      </c>
      <c r="D136" s="14" t="s">
        <v>201</v>
      </c>
      <c r="E136" s="15" t="n">
        <v>3935766</v>
      </c>
      <c r="F136" s="13" t="s">
        <v>21</v>
      </c>
      <c r="G136" s="13" t="n">
        <v>4</v>
      </c>
      <c r="H136" s="13" t="n">
        <f aca="false">O136+P136+Q136</f>
        <v>4</v>
      </c>
      <c r="I136" s="13" t="n">
        <v>0</v>
      </c>
      <c r="J136" s="16" t="n">
        <f aca="false">IF(G136=0,"",I136/G136)</f>
        <v>0</v>
      </c>
      <c r="K136" s="17" t="n">
        <f aca="false">IF(ISNUMBER(E136),IF(E136&gt;0,G136/E136*1000000,""),"")</f>
        <v>1.01632058409977</v>
      </c>
      <c r="L136" s="17" t="n">
        <f aca="false">IF(G136=0,"",H136/G136)</f>
        <v>1</v>
      </c>
      <c r="M136" s="13" t="s">
        <v>26</v>
      </c>
      <c r="N136" s="15"/>
      <c r="O136" s="13" t="n">
        <v>0</v>
      </c>
      <c r="P136" s="13" t="n">
        <v>4</v>
      </c>
      <c r="Q136" s="13" t="n">
        <v>0</v>
      </c>
    </row>
    <row r="137" customFormat="false" ht="15" hidden="false" customHeight="true" outlineLevel="0" collapsed="false">
      <c r="A137" s="13" t="s">
        <v>302</v>
      </c>
      <c r="B137" s="13" t="s">
        <v>303</v>
      </c>
      <c r="C137" s="13" t="s">
        <v>53</v>
      </c>
      <c r="D137" s="14" t="s">
        <v>201</v>
      </c>
      <c r="E137" s="15" t="n">
        <v>11520684</v>
      </c>
      <c r="F137" s="13" t="s">
        <v>21</v>
      </c>
      <c r="G137" s="13" t="n">
        <v>4</v>
      </c>
      <c r="H137" s="13" t="n">
        <f aca="false">O137+P137+Q137</f>
        <v>5</v>
      </c>
      <c r="I137" s="13" t="n">
        <v>0</v>
      </c>
      <c r="J137" s="16" t="n">
        <f aca="false">IF(G137=0,"",I137/G137)</f>
        <v>0</v>
      </c>
      <c r="K137" s="17" t="n">
        <f aca="false">IF(ISNUMBER(E137),IF(E137&gt;0,G137/E137*1000000,""),"")</f>
        <v>0.347201607126799</v>
      </c>
      <c r="L137" s="17" t="n">
        <f aca="false">IF(G137=0,"",H137/G137)</f>
        <v>1.25</v>
      </c>
      <c r="M137" s="13" t="s">
        <v>26</v>
      </c>
      <c r="N137" s="15"/>
      <c r="O137" s="13" t="n">
        <v>0</v>
      </c>
      <c r="P137" s="13" t="n">
        <v>5</v>
      </c>
      <c r="Q137" s="13" t="n">
        <v>0</v>
      </c>
    </row>
    <row r="138" customFormat="false" ht="15" hidden="false" customHeight="true" outlineLevel="0" collapsed="false">
      <c r="A138" s="13" t="s">
        <v>304</v>
      </c>
      <c r="B138" s="13" t="s">
        <v>305</v>
      </c>
      <c r="C138" s="13" t="s">
        <v>29</v>
      </c>
      <c r="D138" s="14" t="s">
        <v>201</v>
      </c>
      <c r="E138" s="15" t="n">
        <v>882847</v>
      </c>
      <c r="F138" s="13" t="s">
        <v>21</v>
      </c>
      <c r="G138" s="13" t="n">
        <v>4</v>
      </c>
      <c r="H138" s="13" t="n">
        <f aca="false">O138+P138+Q138</f>
        <v>2</v>
      </c>
      <c r="I138" s="13" t="n">
        <v>1</v>
      </c>
      <c r="J138" s="16" t="n">
        <f aca="false">IF(G138=0,"",I138/G138)</f>
        <v>0.25</v>
      </c>
      <c r="K138" s="17" t="n">
        <f aca="false">IF(ISNUMBER(E138),IF(E138&gt;0,G138/E138*1000000,""),"")</f>
        <v>4.53079638940836</v>
      </c>
      <c r="L138" s="17" t="n">
        <f aca="false">IF(G138=0,"",H138/G138)</f>
        <v>0.5</v>
      </c>
      <c r="M138" s="13" t="s">
        <v>36</v>
      </c>
      <c r="N138" s="15"/>
      <c r="O138" s="13" t="n">
        <v>1</v>
      </c>
      <c r="P138" s="13" t="n">
        <v>1</v>
      </c>
      <c r="Q138" s="13" t="n">
        <v>0</v>
      </c>
    </row>
    <row r="139" customFormat="false" ht="15" hidden="false" customHeight="true" outlineLevel="0" collapsed="false">
      <c r="A139" s="13" t="s">
        <v>306</v>
      </c>
      <c r="B139" s="13" t="s">
        <v>307</v>
      </c>
      <c r="C139" s="13" t="s">
        <v>19</v>
      </c>
      <c r="D139" s="14" t="s">
        <v>201</v>
      </c>
      <c r="E139" s="15" t="n">
        <v>20843754</v>
      </c>
      <c r="F139" s="13" t="s">
        <v>21</v>
      </c>
      <c r="G139" s="13" t="n">
        <v>4</v>
      </c>
      <c r="H139" s="13" t="n">
        <f aca="false">O139+P139+Q139</f>
        <v>4</v>
      </c>
      <c r="I139" s="13" t="n">
        <v>1</v>
      </c>
      <c r="J139" s="16" t="n">
        <f aca="false">IF(G139=0,"",I139/G139)</f>
        <v>0.25</v>
      </c>
      <c r="K139" s="17" t="n">
        <f aca="false">IF(ISNUMBER(E139),IF(E139&gt;0,G139/E139*1000000,""),"")</f>
        <v>0.191904011148855</v>
      </c>
      <c r="L139" s="17" t="n">
        <f aca="false">IF(G139=0,"",H139/G139)</f>
        <v>1</v>
      </c>
      <c r="M139" s="13" t="s">
        <v>26</v>
      </c>
      <c r="N139" s="15"/>
      <c r="O139" s="13" t="n">
        <v>0</v>
      </c>
      <c r="P139" s="13" t="n">
        <v>4</v>
      </c>
      <c r="Q139" s="13" t="n">
        <v>0</v>
      </c>
    </row>
    <row r="140" customFormat="false" ht="15" hidden="false" customHeight="true" outlineLevel="0" collapsed="false">
      <c r="A140" s="13" t="s">
        <v>308</v>
      </c>
      <c r="B140" s="13" t="s">
        <v>309</v>
      </c>
      <c r="C140" s="13" t="s">
        <v>29</v>
      </c>
      <c r="D140" s="14" t="s">
        <v>201</v>
      </c>
      <c r="E140" s="15" t="n">
        <v>5315065</v>
      </c>
      <c r="F140" s="13" t="s">
        <v>21</v>
      </c>
      <c r="G140" s="13" t="n">
        <v>4</v>
      </c>
      <c r="H140" s="13" t="n">
        <f aca="false">O140+P140+Q140</f>
        <v>3</v>
      </c>
      <c r="I140" s="13" t="n">
        <v>2</v>
      </c>
      <c r="J140" s="16" t="n">
        <f aca="false">IF(G140=0,"",I140/G140)</f>
        <v>0.5</v>
      </c>
      <c r="K140" s="17" t="n">
        <f aca="false">IF(ISNUMBER(E140),IF(E140&gt;0,G140/E140*1000000,""),"")</f>
        <v>0.752577814194182</v>
      </c>
      <c r="L140" s="17" t="n">
        <f aca="false">IF(G140=0,"",H140/G140)</f>
        <v>0.75</v>
      </c>
      <c r="M140" s="13" t="s">
        <v>36</v>
      </c>
      <c r="N140" s="15"/>
      <c r="O140" s="13" t="n">
        <v>0</v>
      </c>
      <c r="P140" s="13" t="n">
        <v>2</v>
      </c>
      <c r="Q140" s="13" t="n">
        <v>1</v>
      </c>
    </row>
    <row r="141" customFormat="false" ht="15" hidden="false" customHeight="true" outlineLevel="0" collapsed="false">
      <c r="A141" s="13" t="s">
        <v>310</v>
      </c>
      <c r="B141" s="13" t="s">
        <v>311</v>
      </c>
      <c r="C141" s="13" t="s">
        <v>19</v>
      </c>
      <c r="D141" s="14" t="s">
        <v>201</v>
      </c>
      <c r="E141" s="15" t="n">
        <v>529676</v>
      </c>
      <c r="F141" s="13" t="s">
        <v>21</v>
      </c>
      <c r="G141" s="13" t="n">
        <v>4</v>
      </c>
      <c r="H141" s="13" t="n">
        <f aca="false">O141+P141+Q141</f>
        <v>4</v>
      </c>
      <c r="I141" s="13" t="n">
        <v>2</v>
      </c>
      <c r="J141" s="16" t="n">
        <f aca="false">IF(G141=0,"",I141/G141)</f>
        <v>0.5</v>
      </c>
      <c r="K141" s="17" t="n">
        <f aca="false">IF(ISNUMBER(E141),IF(E141&gt;0,G141/E141*1000000,""),"")</f>
        <v>7.55178637506702</v>
      </c>
      <c r="L141" s="17" t="n">
        <f aca="false">IF(G141=0,"",H141/G141)</f>
        <v>1</v>
      </c>
      <c r="M141" s="13" t="s">
        <v>26</v>
      </c>
      <c r="N141" s="15"/>
      <c r="O141" s="13" t="n">
        <v>0</v>
      </c>
      <c r="P141" s="13" t="n">
        <v>4</v>
      </c>
      <c r="Q141" s="13" t="n">
        <v>0</v>
      </c>
    </row>
    <row r="142" customFormat="false" ht="15" hidden="false" customHeight="true" outlineLevel="0" collapsed="false">
      <c r="A142" s="13" t="s">
        <v>312</v>
      </c>
      <c r="B142" s="13" t="s">
        <v>313</v>
      </c>
      <c r="C142" s="13" t="s">
        <v>19</v>
      </c>
      <c r="D142" s="14" t="s">
        <v>201</v>
      </c>
      <c r="E142" s="15" t="n">
        <v>35977838</v>
      </c>
      <c r="F142" s="13" t="s">
        <v>21</v>
      </c>
      <c r="G142" s="13" t="n">
        <v>4</v>
      </c>
      <c r="H142" s="13" t="n">
        <f aca="false">O142+P142+Q142</f>
        <v>5</v>
      </c>
      <c r="I142" s="13" t="n">
        <v>1</v>
      </c>
      <c r="J142" s="16" t="n">
        <f aca="false">IF(G142=0,"",I142/G142)</f>
        <v>0.25</v>
      </c>
      <c r="K142" s="17" t="n">
        <f aca="false">IF(ISNUMBER(E142),IF(E142&gt;0,G142/E142*1000000,""),"")</f>
        <v>0.111179554480178</v>
      </c>
      <c r="L142" s="17" t="n">
        <f aca="false">IF(G142=0,"",H142/G142)</f>
        <v>1.25</v>
      </c>
      <c r="M142" s="13" t="s">
        <v>26</v>
      </c>
      <c r="N142" s="15"/>
      <c r="O142" s="13" t="n">
        <v>0</v>
      </c>
      <c r="P142" s="13" t="n">
        <v>5</v>
      </c>
      <c r="Q142" s="13" t="n">
        <v>0</v>
      </c>
    </row>
    <row r="143" customFormat="false" ht="15" hidden="false" customHeight="true" outlineLevel="0" collapsed="false">
      <c r="A143" s="13" t="s">
        <v>314</v>
      </c>
      <c r="B143" s="13" t="s">
        <v>315</v>
      </c>
      <c r="C143" s="13" t="s">
        <v>29</v>
      </c>
      <c r="D143" s="14" t="s">
        <v>201</v>
      </c>
      <c r="E143" s="15" t="n">
        <v>8591626</v>
      </c>
      <c r="F143" s="13" t="s">
        <v>21</v>
      </c>
      <c r="G143" s="13" t="n">
        <v>4</v>
      </c>
      <c r="H143" s="13" t="n">
        <f aca="false">O143+P143+Q143</f>
        <v>4</v>
      </c>
      <c r="I143" s="13" t="n">
        <v>0</v>
      </c>
      <c r="J143" s="16" t="n">
        <f aca="false">IF(G143=0,"",I143/G143)</f>
        <v>0</v>
      </c>
      <c r="K143" s="17" t="n">
        <f aca="false">IF(ISNUMBER(E143),IF(E143&gt;0,G143/E143*1000000,""),"")</f>
        <v>0.465569613947348</v>
      </c>
      <c r="L143" s="17" t="n">
        <f aca="false">IF(G143=0,"",H143/G143)</f>
        <v>1</v>
      </c>
      <c r="M143" s="13" t="s">
        <v>36</v>
      </c>
      <c r="N143" s="15"/>
      <c r="O143" s="13" t="n">
        <v>2</v>
      </c>
      <c r="P143" s="13" t="n">
        <v>2</v>
      </c>
      <c r="Q143" s="13" t="n">
        <v>0</v>
      </c>
    </row>
    <row r="144" customFormat="false" ht="15" hidden="false" customHeight="true" outlineLevel="0" collapsed="false">
      <c r="A144" s="13" t="s">
        <v>316</v>
      </c>
      <c r="B144" s="13" t="s">
        <v>317</v>
      </c>
      <c r="C144" s="13" t="s">
        <v>19</v>
      </c>
      <c r="D144" s="14" t="s">
        <v>201</v>
      </c>
      <c r="E144" s="15" t="n">
        <v>10246996</v>
      </c>
      <c r="F144" s="13" t="s">
        <v>21</v>
      </c>
      <c r="G144" s="13" t="n">
        <v>3</v>
      </c>
      <c r="H144" s="13" t="n">
        <f aca="false">O144+P144+Q144</f>
        <v>3</v>
      </c>
      <c r="I144" s="13" t="n">
        <v>0</v>
      </c>
      <c r="J144" s="16" t="n">
        <f aca="false">IF(G144=0,"",I144/G144)</f>
        <v>0</v>
      </c>
      <c r="K144" s="17" t="n">
        <f aca="false">IF(ISNUMBER(E144),IF(E144&gt;0,G144/E144*1000000,""),"")</f>
        <v>0.292768729489111</v>
      </c>
      <c r="L144" s="17" t="n">
        <f aca="false">IF(G144=0,"",H144/G144)</f>
        <v>1</v>
      </c>
      <c r="M144" s="13" t="s">
        <v>26</v>
      </c>
      <c r="N144" s="15"/>
      <c r="O144" s="13" t="n">
        <v>0</v>
      </c>
      <c r="P144" s="13" t="n">
        <v>3</v>
      </c>
      <c r="Q144" s="13" t="n">
        <v>0</v>
      </c>
    </row>
    <row r="145" customFormat="false" ht="15" hidden="false" customHeight="true" outlineLevel="0" collapsed="false">
      <c r="A145" s="13" t="s">
        <v>318</v>
      </c>
      <c r="B145" s="13" t="s">
        <v>319</v>
      </c>
      <c r="C145" s="13" t="s">
        <v>19</v>
      </c>
      <c r="D145" s="14" t="s">
        <v>201</v>
      </c>
      <c r="E145" s="15" t="n">
        <v>175686899</v>
      </c>
      <c r="F145" s="13" t="s">
        <v>21</v>
      </c>
      <c r="G145" s="13" t="n">
        <v>3</v>
      </c>
      <c r="H145" s="13" t="n">
        <f aca="false">O145+P145+Q145</f>
        <v>4</v>
      </c>
      <c r="I145" s="13" t="n">
        <v>1</v>
      </c>
      <c r="J145" s="16" t="n">
        <f aca="false">IF(G145=0,"",I145/G145)</f>
        <v>0.333333333333333</v>
      </c>
      <c r="K145" s="17" t="n">
        <f aca="false">IF(ISNUMBER(E145),IF(E145&gt;0,G145/E145*1000000,""),"")</f>
        <v>0.0170758321598015</v>
      </c>
      <c r="L145" s="17" t="n">
        <f aca="false">IF(G145=0,"",H145/G145)</f>
        <v>1.33333333333333</v>
      </c>
      <c r="M145" s="13" t="s">
        <v>36</v>
      </c>
      <c r="N145" s="15"/>
      <c r="O145" s="13" t="n">
        <v>0</v>
      </c>
      <c r="P145" s="13" t="n">
        <v>4</v>
      </c>
      <c r="Q145" s="13" t="n">
        <v>0</v>
      </c>
    </row>
    <row r="146" customFormat="false" ht="15" hidden="false" customHeight="true" outlineLevel="0" collapsed="false">
      <c r="A146" s="13" t="s">
        <v>320</v>
      </c>
      <c r="B146" s="13" t="s">
        <v>321</v>
      </c>
      <c r="C146" s="13" t="s">
        <v>19</v>
      </c>
      <c r="D146" s="14" t="s">
        <v>201</v>
      </c>
      <c r="E146" s="15" t="n">
        <v>796682</v>
      </c>
      <c r="F146" s="13" t="s">
        <v>21</v>
      </c>
      <c r="G146" s="13" t="n">
        <v>3</v>
      </c>
      <c r="H146" s="13" t="n">
        <f aca="false">O146+P146+Q146</f>
        <v>3</v>
      </c>
      <c r="I146" s="13" t="n">
        <v>2</v>
      </c>
      <c r="J146" s="16" t="n">
        <f aca="false">IF(G146=0,"",I146/G146)</f>
        <v>0.666666666666667</v>
      </c>
      <c r="K146" s="17" t="n">
        <f aca="false">IF(ISNUMBER(E146),IF(E146&gt;0,G146/E146*1000000,""),"")</f>
        <v>3.76561790024125</v>
      </c>
      <c r="L146" s="17" t="n">
        <f aca="false">IF(G146=0,"",H146/G146)</f>
        <v>1</v>
      </c>
      <c r="M146" s="13" t="s">
        <v>36</v>
      </c>
      <c r="N146" s="15"/>
      <c r="O146" s="13" t="n">
        <v>0</v>
      </c>
      <c r="P146" s="13" t="n">
        <v>3</v>
      </c>
      <c r="Q146" s="13" t="n">
        <v>0</v>
      </c>
    </row>
    <row r="147" customFormat="false" ht="15" hidden="false" customHeight="true" outlineLevel="0" collapsed="false">
      <c r="A147" s="13" t="s">
        <v>322</v>
      </c>
      <c r="B147" s="13" t="s">
        <v>323</v>
      </c>
      <c r="C147" s="13" t="s">
        <v>25</v>
      </c>
      <c r="D147" s="14" t="s">
        <v>201</v>
      </c>
      <c r="E147" s="15" t="n">
        <v>18687881</v>
      </c>
      <c r="F147" s="13" t="s">
        <v>21</v>
      </c>
      <c r="G147" s="13" t="n">
        <v>3</v>
      </c>
      <c r="H147" s="13" t="n">
        <f aca="false">O147+P147+Q147</f>
        <v>6</v>
      </c>
      <c r="I147" s="13" t="n">
        <v>0</v>
      </c>
      <c r="J147" s="16" t="n">
        <f aca="false">IF(G147=0,"",I147/G147)</f>
        <v>0</v>
      </c>
      <c r="K147" s="17" t="n">
        <f aca="false">IF(ISNUMBER(E147),IF(E147&gt;0,G147/E147*1000000,""),"")</f>
        <v>0.160531844140061</v>
      </c>
      <c r="L147" s="17" t="n">
        <f aca="false">IF(G147=0,"",H147/G147)</f>
        <v>2</v>
      </c>
      <c r="M147" s="13" t="s">
        <v>26</v>
      </c>
      <c r="N147" s="15"/>
      <c r="O147" s="13" t="n">
        <v>0</v>
      </c>
      <c r="P147" s="13" t="n">
        <v>6</v>
      </c>
      <c r="Q147" s="13" t="n">
        <v>0</v>
      </c>
    </row>
    <row r="148" customFormat="false" ht="15" hidden="false" customHeight="true" outlineLevel="0" collapsed="false">
      <c r="A148" s="13" t="s">
        <v>324</v>
      </c>
      <c r="B148" s="13" t="s">
        <v>325</v>
      </c>
      <c r="C148" s="13" t="s">
        <v>25</v>
      </c>
      <c r="D148" s="14" t="s">
        <v>201</v>
      </c>
      <c r="E148" s="15" t="n">
        <v>2837077</v>
      </c>
      <c r="F148" s="13" t="s">
        <v>21</v>
      </c>
      <c r="G148" s="13" t="n">
        <v>3</v>
      </c>
      <c r="H148" s="13" t="n">
        <f aca="false">O148+P148+Q148</f>
        <v>5</v>
      </c>
      <c r="I148" s="13" t="n">
        <v>0</v>
      </c>
      <c r="J148" s="16" t="n">
        <f aca="false">IF(G148=0,"",I148/G148)</f>
        <v>0</v>
      </c>
      <c r="K148" s="17" t="n">
        <f aca="false">IF(ISNUMBER(E148),IF(E148&gt;0,G148/E148*1000000,""),"")</f>
        <v>1.05742635818485</v>
      </c>
      <c r="L148" s="17" t="n">
        <f aca="false">IF(G148=0,"",H148/G148)</f>
        <v>1.66666666666667</v>
      </c>
      <c r="M148" s="13" t="s">
        <v>26</v>
      </c>
      <c r="N148" s="15"/>
      <c r="O148" s="13" t="n">
        <v>0</v>
      </c>
      <c r="P148" s="13" t="n">
        <v>5</v>
      </c>
      <c r="Q148" s="13" t="n">
        <v>0</v>
      </c>
    </row>
    <row r="149" customFormat="false" ht="15" hidden="false" customHeight="true" outlineLevel="0" collapsed="false">
      <c r="A149" s="13" t="s">
        <v>326</v>
      </c>
      <c r="B149" s="13" t="s">
        <v>327</v>
      </c>
      <c r="C149" s="13" t="s">
        <v>19</v>
      </c>
      <c r="D149" s="14" t="s">
        <v>201</v>
      </c>
      <c r="E149" s="15" t="n">
        <v>7343064</v>
      </c>
      <c r="F149" s="13" t="s">
        <v>21</v>
      </c>
      <c r="G149" s="13" t="n">
        <v>3</v>
      </c>
      <c r="H149" s="13" t="n">
        <f aca="false">O149+P149+Q149</f>
        <v>4</v>
      </c>
      <c r="I149" s="13" t="n">
        <v>0</v>
      </c>
      <c r="J149" s="16" t="n">
        <f aca="false">IF(G149=0,"",I149/G149)</f>
        <v>0</v>
      </c>
      <c r="K149" s="17" t="n">
        <f aca="false">IF(ISNUMBER(E149),IF(E149&gt;0,G149/E149*1000000,""),"")</f>
        <v>0.408548801971493</v>
      </c>
      <c r="L149" s="17" t="n">
        <f aca="false">IF(G149=0,"",H149/G149)</f>
        <v>1.33333333333333</v>
      </c>
      <c r="M149" s="13" t="s">
        <v>36</v>
      </c>
      <c r="N149" s="15"/>
      <c r="O149" s="13" t="n">
        <v>0</v>
      </c>
      <c r="P149" s="13" t="n">
        <v>4</v>
      </c>
      <c r="Q149" s="13" t="n">
        <v>0</v>
      </c>
    </row>
    <row r="150" customFormat="false" ht="15" hidden="false" customHeight="true" outlineLevel="0" collapsed="false">
      <c r="A150" s="13" t="s">
        <v>328</v>
      </c>
      <c r="B150" s="13" t="s">
        <v>329</v>
      </c>
      <c r="C150" s="13" t="s">
        <v>19</v>
      </c>
      <c r="D150" s="14" t="s">
        <v>201</v>
      </c>
      <c r="E150" s="15" t="n">
        <v>17847982</v>
      </c>
      <c r="F150" s="13" t="s">
        <v>21</v>
      </c>
      <c r="G150" s="13" t="n">
        <v>3</v>
      </c>
      <c r="H150" s="13" t="n">
        <f aca="false">O150+P150+Q150</f>
        <v>4</v>
      </c>
      <c r="I150" s="13" t="n">
        <v>1</v>
      </c>
      <c r="J150" s="16" t="n">
        <f aca="false">IF(G150=0,"",I150/G150)</f>
        <v>0.333333333333333</v>
      </c>
      <c r="K150" s="17" t="n">
        <f aca="false">IF(ISNUMBER(E150),IF(E150&gt;0,G150/E150*1000000,""),"")</f>
        <v>0.168086229580465</v>
      </c>
      <c r="L150" s="17" t="n">
        <f aca="false">IF(G150=0,"",H150/G150)</f>
        <v>1.33333333333333</v>
      </c>
      <c r="M150" s="13" t="s">
        <v>36</v>
      </c>
      <c r="N150" s="15"/>
      <c r="O150" s="13" t="n">
        <v>0</v>
      </c>
      <c r="P150" s="13" t="n">
        <v>4</v>
      </c>
      <c r="Q150" s="13" t="n">
        <v>0</v>
      </c>
    </row>
    <row r="151" customFormat="false" ht="15" hidden="false" customHeight="true" outlineLevel="0" collapsed="false">
      <c r="A151" s="13" t="s">
        <v>330</v>
      </c>
      <c r="B151" s="13" t="s">
        <v>331</v>
      </c>
      <c r="C151" s="13" t="s">
        <v>19</v>
      </c>
      <c r="D151" s="14" t="s">
        <v>201</v>
      </c>
      <c r="E151" s="15" t="n">
        <v>7873046</v>
      </c>
      <c r="F151" s="13" t="s">
        <v>21</v>
      </c>
      <c r="G151" s="13" t="n">
        <v>3</v>
      </c>
      <c r="H151" s="13" t="n">
        <f aca="false">O151+P151+Q151</f>
        <v>4</v>
      </c>
      <c r="I151" s="13" t="n">
        <v>1</v>
      </c>
      <c r="J151" s="16" t="n">
        <f aca="false">IF(G151=0,"",I151/G151)</f>
        <v>0.333333333333333</v>
      </c>
      <c r="K151" s="17" t="n">
        <f aca="false">IF(ISNUMBER(E151),IF(E151&gt;0,G151/E151*1000000,""),"")</f>
        <v>0.381046928977679</v>
      </c>
      <c r="L151" s="17" t="n">
        <f aca="false">IF(G151=0,"",H151/G151)</f>
        <v>1.33333333333333</v>
      </c>
      <c r="M151" s="13" t="s">
        <v>36</v>
      </c>
      <c r="N151" s="15"/>
      <c r="O151" s="13" t="n">
        <v>0</v>
      </c>
      <c r="P151" s="13" t="n">
        <v>4</v>
      </c>
      <c r="Q151" s="13" t="n">
        <v>0</v>
      </c>
    </row>
    <row r="152" customFormat="false" ht="15" hidden="false" customHeight="true" outlineLevel="0" collapsed="false">
      <c r="A152" s="13" t="s">
        <v>332</v>
      </c>
      <c r="B152" s="13" t="s">
        <v>333</v>
      </c>
      <c r="C152" s="13" t="s">
        <v>64</v>
      </c>
      <c r="D152" s="14" t="s">
        <v>201</v>
      </c>
      <c r="E152" s="15" t="n">
        <v>2360527</v>
      </c>
      <c r="F152" s="13" t="s">
        <v>21</v>
      </c>
      <c r="G152" s="13" t="n">
        <v>3</v>
      </c>
      <c r="H152" s="13" t="n">
        <f aca="false">O152+P152+Q152</f>
        <v>3</v>
      </c>
      <c r="I152" s="13" t="n">
        <v>0</v>
      </c>
      <c r="J152" s="16" t="n">
        <f aca="false">IF(G152=0,"",I152/G152)</f>
        <v>0</v>
      </c>
      <c r="K152" s="17" t="n">
        <f aca="false">IF(ISNUMBER(E152),IF(E152&gt;0,G152/E152*1000000,""),"")</f>
        <v>1.27090264165587</v>
      </c>
      <c r="L152" s="17" t="n">
        <f aca="false">IF(G152=0,"",H152/G152)</f>
        <v>1</v>
      </c>
      <c r="M152" s="13" t="s">
        <v>26</v>
      </c>
      <c r="N152" s="15"/>
      <c r="O152" s="13" t="n">
        <v>0</v>
      </c>
      <c r="P152" s="13" t="n">
        <v>3</v>
      </c>
      <c r="Q152" s="13" t="n">
        <v>0</v>
      </c>
    </row>
    <row r="153" customFormat="false" ht="15" hidden="false" customHeight="true" outlineLevel="0" collapsed="false">
      <c r="A153" s="13" t="s">
        <v>334</v>
      </c>
      <c r="B153" s="13" t="s">
        <v>335</v>
      </c>
      <c r="C153" s="13" t="s">
        <v>19</v>
      </c>
      <c r="D153" s="14" t="s">
        <v>201</v>
      </c>
      <c r="E153" s="15" t="n">
        <v>3568978</v>
      </c>
      <c r="F153" s="13" t="s">
        <v>21</v>
      </c>
      <c r="G153" s="13" t="n">
        <v>3</v>
      </c>
      <c r="H153" s="13" t="n">
        <f aca="false">O153+P153+Q153</f>
        <v>4</v>
      </c>
      <c r="I153" s="13" t="n">
        <v>0</v>
      </c>
      <c r="J153" s="16" t="n">
        <f aca="false">IF(G153=0,"",I153/G153)</f>
        <v>0</v>
      </c>
      <c r="K153" s="17" t="n">
        <f aca="false">IF(ISNUMBER(E153),IF(E153&gt;0,G153/E153*1000000,""),"")</f>
        <v>0.840576770156611</v>
      </c>
      <c r="L153" s="17" t="n">
        <f aca="false">IF(G153=0,"",H153/G153)</f>
        <v>1.33333333333333</v>
      </c>
      <c r="M153" s="13" t="s">
        <v>26</v>
      </c>
      <c r="N153" s="15"/>
      <c r="O153" s="13" t="n">
        <v>0</v>
      </c>
      <c r="P153" s="13" t="n">
        <v>4</v>
      </c>
      <c r="Q153" s="13" t="n">
        <v>0</v>
      </c>
    </row>
    <row r="154" customFormat="false" ht="15" hidden="false" customHeight="true" outlineLevel="0" collapsed="false">
      <c r="A154" s="13" t="s">
        <v>336</v>
      </c>
      <c r="B154" s="13" t="s">
        <v>337</v>
      </c>
      <c r="C154" s="13" t="s">
        <v>19</v>
      </c>
      <c r="D154" s="14" t="s">
        <v>201</v>
      </c>
      <c r="E154" s="15" t="n">
        <v>29618118</v>
      </c>
      <c r="F154" s="13" t="s">
        <v>21</v>
      </c>
      <c r="G154" s="13" t="n">
        <v>3</v>
      </c>
      <c r="H154" s="13" t="n">
        <f aca="false">O154+P154+Q154</f>
        <v>6</v>
      </c>
      <c r="I154" s="13" t="n">
        <v>1</v>
      </c>
      <c r="J154" s="16" t="n">
        <f aca="false">IF(G154=0,"",I154/G154)</f>
        <v>0.333333333333333</v>
      </c>
      <c r="K154" s="17" t="n">
        <f aca="false">IF(ISNUMBER(E154),IF(E154&gt;0,G154/E154*1000000,""),"")</f>
        <v>0.101289352686082</v>
      </c>
      <c r="L154" s="17" t="n">
        <f aca="false">IF(G154=0,"",H154/G154)</f>
        <v>2</v>
      </c>
      <c r="M154" s="13" t="s">
        <v>36</v>
      </c>
      <c r="N154" s="15"/>
      <c r="O154" s="13" t="n">
        <v>0</v>
      </c>
      <c r="P154" s="13" t="n">
        <v>6</v>
      </c>
      <c r="Q154" s="13" t="n">
        <v>0</v>
      </c>
    </row>
    <row r="155" customFormat="false" ht="15" hidden="false" customHeight="true" outlineLevel="0" collapsed="false">
      <c r="A155" s="13" t="s">
        <v>338</v>
      </c>
      <c r="B155" s="13" t="s">
        <v>339</v>
      </c>
      <c r="C155" s="13" t="s">
        <v>19</v>
      </c>
      <c r="D155" s="14" t="s">
        <v>201</v>
      </c>
      <c r="E155" s="15" t="n">
        <v>1418517</v>
      </c>
      <c r="F155" s="13" t="s">
        <v>21</v>
      </c>
      <c r="G155" s="13" t="n">
        <v>3</v>
      </c>
      <c r="H155" s="13" t="n">
        <f aca="false">O155+P155+Q155</f>
        <v>5</v>
      </c>
      <c r="I155" s="13" t="n">
        <v>1</v>
      </c>
      <c r="J155" s="16" t="n">
        <f aca="false">IF(G155=0,"",I155/G155)</f>
        <v>0.333333333333333</v>
      </c>
      <c r="K155" s="17" t="n">
        <f aca="false">IF(ISNUMBER(E155),IF(E155&gt;0,G155/E155*1000000,""),"")</f>
        <v>2.11488477050328</v>
      </c>
      <c r="L155" s="17" t="n">
        <f aca="false">IF(G155=0,"",H155/G155)</f>
        <v>1.66666666666667</v>
      </c>
      <c r="M155" s="13" t="s">
        <v>36</v>
      </c>
      <c r="N155" s="15"/>
      <c r="O155" s="13" t="n">
        <v>0</v>
      </c>
      <c r="P155" s="13" t="n">
        <v>5</v>
      </c>
      <c r="Q155" s="13" t="n">
        <v>0</v>
      </c>
    </row>
    <row r="156" customFormat="false" ht="15" hidden="false" customHeight="true" outlineLevel="0" collapsed="false">
      <c r="A156" s="13" t="s">
        <v>340</v>
      </c>
      <c r="B156" s="13" t="s">
        <v>341</v>
      </c>
      <c r="C156" s="13" t="s">
        <v>64</v>
      </c>
      <c r="D156" s="14" t="s">
        <v>201</v>
      </c>
      <c r="E156" s="15" t="n">
        <v>3140095</v>
      </c>
      <c r="F156" s="13" t="s">
        <v>21</v>
      </c>
      <c r="G156" s="13" t="n">
        <v>2</v>
      </c>
      <c r="H156" s="13" t="n">
        <f aca="false">O156+P156+Q156</f>
        <v>2</v>
      </c>
      <c r="I156" s="13" t="n">
        <v>0</v>
      </c>
      <c r="J156" s="16" t="n">
        <f aca="false">IF(G156=0,"",I156/G156)</f>
        <v>0</v>
      </c>
      <c r="K156" s="17" t="n">
        <f aca="false">IF(ISNUMBER(E156),IF(E156&gt;0,G156/E156*1000000,""),"")</f>
        <v>0.636923405183601</v>
      </c>
      <c r="L156" s="17" t="n">
        <f aca="false">IF(G156=0,"",H156/G156)</f>
        <v>1</v>
      </c>
      <c r="M156" s="13" t="s">
        <v>26</v>
      </c>
      <c r="N156" s="15"/>
      <c r="O156" s="13" t="n">
        <v>0</v>
      </c>
      <c r="P156" s="13" t="n">
        <v>2</v>
      </c>
      <c r="Q156" s="13" t="n">
        <v>0</v>
      </c>
    </row>
    <row r="157" customFormat="false" ht="15" hidden="false" customHeight="true" outlineLevel="0" collapsed="false">
      <c r="A157" s="13" t="s">
        <v>342</v>
      </c>
      <c r="B157" s="13" t="s">
        <v>343</v>
      </c>
      <c r="C157" s="13" t="s">
        <v>92</v>
      </c>
      <c r="D157" s="14" t="s">
        <v>201</v>
      </c>
      <c r="E157" s="15" t="n">
        <v>113683</v>
      </c>
      <c r="F157" s="13" t="s">
        <v>21</v>
      </c>
      <c r="G157" s="13" t="n">
        <v>2</v>
      </c>
      <c r="H157" s="13" t="n">
        <f aca="false">O157+P157+Q157</f>
        <v>3</v>
      </c>
      <c r="I157" s="13" t="n">
        <v>0</v>
      </c>
      <c r="J157" s="16" t="n">
        <f aca="false">IF(G157=0,"",I157/G157)</f>
        <v>0</v>
      </c>
      <c r="K157" s="17" t="n">
        <f aca="false">IF(ISNUMBER(E157),IF(E157&gt;0,G157/E157*1000000,""),"")</f>
        <v>17.5927799231196</v>
      </c>
      <c r="L157" s="17" t="n">
        <f aca="false">IF(G157=0,"",H157/G157)</f>
        <v>1.5</v>
      </c>
      <c r="M157" s="13" t="s">
        <v>26</v>
      </c>
      <c r="N157" s="15"/>
      <c r="O157" s="13" t="n">
        <v>0</v>
      </c>
      <c r="P157" s="13" t="n">
        <v>3</v>
      </c>
      <c r="Q157" s="13" t="n">
        <v>0</v>
      </c>
    </row>
    <row r="158" customFormat="false" ht="15" hidden="false" customHeight="true" outlineLevel="0" collapsed="false">
      <c r="A158" s="13" t="s">
        <v>344</v>
      </c>
      <c r="B158" s="13" t="s">
        <v>345</v>
      </c>
      <c r="C158" s="13" t="s">
        <v>25</v>
      </c>
      <c r="D158" s="14" t="s">
        <v>201</v>
      </c>
      <c r="E158" s="15" t="n">
        <v>11005850</v>
      </c>
      <c r="F158" s="13" t="s">
        <v>21</v>
      </c>
      <c r="G158" s="13" t="n">
        <v>2</v>
      </c>
      <c r="H158" s="13" t="n">
        <f aca="false">O158+P158+Q158</f>
        <v>3</v>
      </c>
      <c r="I158" s="13" t="n">
        <v>0</v>
      </c>
      <c r="J158" s="16" t="n">
        <f aca="false">IF(G158=0,"",I158/G158)</f>
        <v>0</v>
      </c>
      <c r="K158" s="17" t="n">
        <f aca="false">IF(ISNUMBER(E158),IF(E158&gt;0,G158/E158*1000000,""),"")</f>
        <v>0.181721538999714</v>
      </c>
      <c r="L158" s="17" t="n">
        <f aca="false">IF(G158=0,"",H158/G158)</f>
        <v>1.5</v>
      </c>
      <c r="M158" s="13" t="s">
        <v>36</v>
      </c>
      <c r="N158" s="15"/>
      <c r="O158" s="13" t="n">
        <v>0</v>
      </c>
      <c r="P158" s="13" t="n">
        <v>3</v>
      </c>
      <c r="Q158" s="13" t="n">
        <v>0</v>
      </c>
    </row>
    <row r="159" customFormat="false" ht="15" hidden="false" customHeight="true" outlineLevel="0" collapsed="false">
      <c r="A159" s="13" t="s">
        <v>346</v>
      </c>
      <c r="B159" s="13" t="s">
        <v>347</v>
      </c>
      <c r="C159" s="13" t="s">
        <v>64</v>
      </c>
      <c r="D159" s="14" t="s">
        <v>201</v>
      </c>
      <c r="E159" s="15" t="n">
        <v>623129</v>
      </c>
      <c r="F159" s="13" t="s">
        <v>21</v>
      </c>
      <c r="G159" s="13" t="n">
        <v>2</v>
      </c>
      <c r="H159" s="13" t="n">
        <f aca="false">O159+P159+Q159</f>
        <v>2</v>
      </c>
      <c r="I159" s="13" t="n">
        <v>0</v>
      </c>
      <c r="J159" s="16" t="n">
        <f aca="false">IF(G159=0,"",I159/G159)</f>
        <v>0</v>
      </c>
      <c r="K159" s="17" t="n">
        <f aca="false">IF(ISNUMBER(E159),IF(E159&gt;0,G159/E159*1000000,""),"")</f>
        <v>3.20960828335706</v>
      </c>
      <c r="L159" s="17" t="n">
        <f aca="false">IF(G159=0,"",H159/G159)</f>
        <v>1</v>
      </c>
      <c r="M159" s="13" t="s">
        <v>26</v>
      </c>
      <c r="N159" s="15"/>
      <c r="O159" s="13" t="n">
        <v>0</v>
      </c>
      <c r="P159" s="13" t="n">
        <v>2</v>
      </c>
      <c r="Q159" s="13" t="n">
        <v>0</v>
      </c>
    </row>
    <row r="160" customFormat="false" ht="15" hidden="false" customHeight="true" outlineLevel="0" collapsed="false">
      <c r="A160" s="13" t="s">
        <v>348</v>
      </c>
      <c r="B160" s="13" t="s">
        <v>349</v>
      </c>
      <c r="C160" s="13" t="s">
        <v>64</v>
      </c>
      <c r="D160" s="14" t="s">
        <v>201</v>
      </c>
      <c r="E160" s="15" t="n">
        <v>1820909</v>
      </c>
      <c r="F160" s="13" t="s">
        <v>21</v>
      </c>
      <c r="G160" s="13" t="n">
        <v>2</v>
      </c>
      <c r="H160" s="13" t="n">
        <f aca="false">O160+P160+Q160</f>
        <v>2</v>
      </c>
      <c r="I160" s="13" t="n">
        <v>0</v>
      </c>
      <c r="J160" s="16" t="n">
        <f aca="false">IF(G160=0,"",I160/G160)</f>
        <v>0</v>
      </c>
      <c r="K160" s="17" t="n">
        <f aca="false">IF(ISNUMBER(E160),IF(E160&gt;0,G160/E160*1000000,""),"")</f>
        <v>1.09835252612843</v>
      </c>
      <c r="L160" s="17" t="n">
        <f aca="false">IF(G160=0,"",H160/G160)</f>
        <v>1</v>
      </c>
      <c r="M160" s="13" t="s">
        <v>26</v>
      </c>
      <c r="N160" s="15"/>
      <c r="O160" s="13" t="n">
        <v>0</v>
      </c>
      <c r="P160" s="13" t="n">
        <v>2</v>
      </c>
      <c r="Q160" s="13" t="n">
        <v>0</v>
      </c>
    </row>
    <row r="161" customFormat="false" ht="15" hidden="false" customHeight="true" outlineLevel="0" collapsed="false">
      <c r="A161" s="13" t="s">
        <v>350</v>
      </c>
      <c r="B161" s="13" t="s">
        <v>351</v>
      </c>
      <c r="C161" s="13" t="s">
        <v>64</v>
      </c>
      <c r="D161" s="14" t="s">
        <v>201</v>
      </c>
      <c r="E161" s="15" t="n">
        <v>6549143</v>
      </c>
      <c r="F161" s="13" t="s">
        <v>21</v>
      </c>
      <c r="G161" s="13" t="n">
        <v>2</v>
      </c>
      <c r="H161" s="13" t="n">
        <f aca="false">O161+P161+Q161</f>
        <v>2</v>
      </c>
      <c r="I161" s="13" t="n">
        <v>0</v>
      </c>
      <c r="J161" s="16" t="n">
        <f aca="false">IF(G161=0,"",I161/G161)</f>
        <v>0</v>
      </c>
      <c r="K161" s="17" t="n">
        <f aca="false">IF(ISNUMBER(E161),IF(E161&gt;0,G161/E161*1000000,""),"")</f>
        <v>0.305383467730053</v>
      </c>
      <c r="L161" s="17" t="n">
        <f aca="false">IF(G161=0,"",H161/G161)</f>
        <v>1</v>
      </c>
      <c r="M161" s="13" t="s">
        <v>26</v>
      </c>
      <c r="N161" s="15"/>
      <c r="O161" s="13" t="n">
        <v>0</v>
      </c>
      <c r="P161" s="13" t="n">
        <v>2</v>
      </c>
      <c r="Q161" s="13" t="n">
        <v>0</v>
      </c>
    </row>
    <row r="162" customFormat="false" ht="15" hidden="false" customHeight="true" outlineLevel="0" collapsed="false">
      <c r="A162" s="13" t="s">
        <v>352</v>
      </c>
      <c r="B162" s="13" t="s">
        <v>353</v>
      </c>
      <c r="C162" s="13" t="s">
        <v>64</v>
      </c>
      <c r="D162" s="14" t="s">
        <v>201</v>
      </c>
      <c r="E162" s="15" t="n">
        <v>1576876</v>
      </c>
      <c r="F162" s="13" t="s">
        <v>21</v>
      </c>
      <c r="G162" s="13" t="n">
        <v>2</v>
      </c>
      <c r="H162" s="13" t="n">
        <f aca="false">O162+P162+Q162</f>
        <v>2</v>
      </c>
      <c r="I162" s="13" t="n">
        <v>0</v>
      </c>
      <c r="J162" s="16" t="n">
        <f aca="false">IF(G162=0,"",I162/G162)</f>
        <v>0</v>
      </c>
      <c r="K162" s="17" t="n">
        <f aca="false">IF(ISNUMBER(E162),IF(E162&gt;0,G162/E162*1000000,""),"")</f>
        <v>1.2683305472339</v>
      </c>
      <c r="L162" s="17" t="n">
        <f aca="false">IF(G162=0,"",H162/G162)</f>
        <v>1</v>
      </c>
      <c r="M162" s="13" t="s">
        <v>26</v>
      </c>
      <c r="N162" s="15"/>
      <c r="O162" s="13" t="n">
        <v>0</v>
      </c>
      <c r="P162" s="13" t="n">
        <v>2</v>
      </c>
      <c r="Q162" s="13" t="n">
        <v>0</v>
      </c>
    </row>
    <row r="163" customFormat="false" ht="15" hidden="false" customHeight="true" outlineLevel="0" collapsed="false">
      <c r="A163" s="13" t="s">
        <v>354</v>
      </c>
      <c r="B163" s="13" t="s">
        <v>355</v>
      </c>
      <c r="C163" s="13" t="s">
        <v>25</v>
      </c>
      <c r="D163" s="14" t="s">
        <v>201</v>
      </c>
      <c r="E163" s="15" t="n">
        <v>422924</v>
      </c>
      <c r="F163" s="13" t="s">
        <v>21</v>
      </c>
      <c r="G163" s="13" t="n">
        <v>1</v>
      </c>
      <c r="H163" s="13" t="n">
        <f aca="false">O163+P163+Q163</f>
        <v>2</v>
      </c>
      <c r="I163" s="13" t="n">
        <v>0</v>
      </c>
      <c r="J163" s="16" t="n">
        <f aca="false">IF(G163=0,"",I163/G163)</f>
        <v>0</v>
      </c>
      <c r="K163" s="17" t="n">
        <f aca="false">IF(ISNUMBER(E163),IF(E163&gt;0,G163/E163*1000000,""),"")</f>
        <v>2.36449101966311</v>
      </c>
      <c r="L163" s="17" t="n">
        <f aca="false">IF(G163=0,"",H163/G163)</f>
        <v>2</v>
      </c>
      <c r="M163" s="13" t="s">
        <v>26</v>
      </c>
      <c r="N163" s="15"/>
      <c r="O163" s="13" t="n">
        <v>0</v>
      </c>
      <c r="P163" s="13" t="n">
        <v>2</v>
      </c>
      <c r="Q163" s="13" t="n">
        <v>0</v>
      </c>
    </row>
    <row r="164" customFormat="false" ht="15" hidden="false" customHeight="true" outlineLevel="0" collapsed="false">
      <c r="A164" s="13" t="s">
        <v>356</v>
      </c>
      <c r="B164" s="13" t="s">
        <v>357</v>
      </c>
      <c r="C164" s="13" t="s">
        <v>25</v>
      </c>
      <c r="D164" s="14" t="s">
        <v>201</v>
      </c>
      <c r="E164" s="15" t="n">
        <v>10937203</v>
      </c>
      <c r="F164" s="13" t="s">
        <v>21</v>
      </c>
      <c r="G164" s="13" t="n">
        <v>1</v>
      </c>
      <c r="H164" s="13" t="n">
        <f aca="false">O164+P164+Q164</f>
        <v>0</v>
      </c>
      <c r="I164" s="13" t="n">
        <v>1</v>
      </c>
      <c r="J164" s="16" t="n">
        <f aca="false">IF(G164=0,"",I164/G164)</f>
        <v>1</v>
      </c>
      <c r="K164" s="17" t="n">
        <f aca="false">IF(ISNUMBER(E164),IF(E164&gt;0,G164/E164*1000000,""),"")</f>
        <v>0.0914310541735396</v>
      </c>
      <c r="L164" s="17" t="n">
        <f aca="false">IF(G164=0,"",H164/G164)</f>
        <v>0</v>
      </c>
      <c r="M164" s="13" t="s">
        <v>26</v>
      </c>
      <c r="N164" s="15"/>
      <c r="O164" s="13" t="n">
        <v>0</v>
      </c>
      <c r="P164" s="13" t="n">
        <v>0</v>
      </c>
      <c r="Q164" s="13" t="n">
        <v>0</v>
      </c>
    </row>
    <row r="165" customFormat="false" ht="15" hidden="false" customHeight="true" outlineLevel="0" collapsed="false">
      <c r="A165" s="13" t="s">
        <v>358</v>
      </c>
      <c r="B165" s="13" t="s">
        <v>359</v>
      </c>
      <c r="C165" s="13" t="s">
        <v>25</v>
      </c>
      <c r="D165" s="14" t="s">
        <v>201</v>
      </c>
      <c r="E165" s="15" t="n">
        <v>65871</v>
      </c>
      <c r="F165" s="13" t="s">
        <v>21</v>
      </c>
      <c r="G165" s="13" t="n">
        <v>1</v>
      </c>
      <c r="H165" s="13" t="n">
        <f aca="false">O165+P165+Q165</f>
        <v>1</v>
      </c>
      <c r="I165" s="13" t="n">
        <v>0</v>
      </c>
      <c r="J165" s="16" t="n">
        <f aca="false">IF(G165=0,"",I165/G165)</f>
        <v>0</v>
      </c>
      <c r="K165" s="17" t="n">
        <f aca="false">IF(ISNUMBER(E165),IF(E165&gt;0,G165/E165*1000000,""),"")</f>
        <v>15.1811874724841</v>
      </c>
      <c r="L165" s="17" t="n">
        <f aca="false">IF(G165=0,"",H165/G165)</f>
        <v>1</v>
      </c>
      <c r="M165" s="13" t="s">
        <v>26</v>
      </c>
      <c r="N165" s="15"/>
      <c r="O165" s="13" t="n">
        <v>0</v>
      </c>
      <c r="P165" s="13" t="n">
        <v>1</v>
      </c>
      <c r="Q165" s="13" t="n">
        <v>0</v>
      </c>
    </row>
    <row r="166" customFormat="false" ht="15" hidden="false" customHeight="true" outlineLevel="0" collapsed="false">
      <c r="A166" s="13" t="s">
        <v>360</v>
      </c>
      <c r="B166" s="13" t="s">
        <v>361</v>
      </c>
      <c r="C166" s="13" t="s">
        <v>92</v>
      </c>
      <c r="D166" s="14" t="s">
        <v>201</v>
      </c>
      <c r="E166" s="15" t="n">
        <v>136488</v>
      </c>
      <c r="F166" s="13" t="s">
        <v>21</v>
      </c>
      <c r="G166" s="13" t="n">
        <v>1</v>
      </c>
      <c r="H166" s="13" t="n">
        <f aca="false">O166+P166+Q166</f>
        <v>1</v>
      </c>
      <c r="I166" s="13" t="n">
        <v>0</v>
      </c>
      <c r="J166" s="16" t="n">
        <f aca="false">IF(G166=0,"",I166/G166)</f>
        <v>0</v>
      </c>
      <c r="K166" s="17" t="n">
        <f aca="false">IF(ISNUMBER(E166),IF(E166&gt;0,G166/E166*1000000,""),"")</f>
        <v>7.3266514272317</v>
      </c>
      <c r="L166" s="17" t="n">
        <f aca="false">IF(G166=0,"",H166/G166)</f>
        <v>1</v>
      </c>
      <c r="M166" s="13" t="s">
        <v>36</v>
      </c>
      <c r="N166" s="15"/>
      <c r="O166" s="13" t="n">
        <v>0</v>
      </c>
      <c r="P166" s="13" t="n">
        <v>1</v>
      </c>
      <c r="Q166" s="13" t="n">
        <v>0</v>
      </c>
    </row>
    <row r="167" customFormat="false" ht="15" hidden="false" customHeight="true" outlineLevel="0" collapsed="false">
      <c r="A167" s="13" t="s">
        <v>362</v>
      </c>
      <c r="B167" s="13" t="s">
        <v>363</v>
      </c>
      <c r="C167" s="13" t="s">
        <v>25</v>
      </c>
      <c r="D167" s="14" t="s">
        <v>201</v>
      </c>
      <c r="E167" s="15" t="n">
        <v>180149</v>
      </c>
      <c r="F167" s="13" t="s">
        <v>21</v>
      </c>
      <c r="G167" s="13" t="n">
        <v>1</v>
      </c>
      <c r="H167" s="13" t="n">
        <f aca="false">O167+P167+Q167</f>
        <v>2</v>
      </c>
      <c r="I167" s="13" t="n">
        <v>0</v>
      </c>
      <c r="J167" s="16" t="n">
        <f aca="false">IF(G167=0,"",I167/G167)</f>
        <v>0</v>
      </c>
      <c r="K167" s="17" t="n">
        <f aca="false">IF(ISNUMBER(E167),IF(E167&gt;0,G167/E167*1000000,""),"")</f>
        <v>5.55096059373075</v>
      </c>
      <c r="L167" s="17" t="n">
        <f aca="false">IF(G167=0,"",H167/G167)</f>
        <v>2</v>
      </c>
      <c r="M167" s="13" t="s">
        <v>26</v>
      </c>
      <c r="N167" s="15"/>
      <c r="O167" s="13" t="n">
        <v>0</v>
      </c>
      <c r="P167" s="13" t="n">
        <v>2</v>
      </c>
      <c r="Q167" s="13" t="n">
        <v>0</v>
      </c>
    </row>
    <row r="168" customFormat="false" ht="15" hidden="false" customHeight="true" outlineLevel="0" collapsed="false">
      <c r="A168" s="13" t="s">
        <v>364</v>
      </c>
      <c r="B168" s="13" t="s">
        <v>365</v>
      </c>
      <c r="C168" s="13" t="s">
        <v>92</v>
      </c>
      <c r="D168" s="14" t="s">
        <v>201</v>
      </c>
      <c r="E168" s="15" t="n">
        <v>36282</v>
      </c>
      <c r="F168" s="13" t="s">
        <v>21</v>
      </c>
      <c r="G168" s="13" t="n">
        <v>1</v>
      </c>
      <c r="H168" s="13" t="n">
        <f aca="false">O168+P168+Q168</f>
        <v>2</v>
      </c>
      <c r="I168" s="13" t="n">
        <v>0</v>
      </c>
      <c r="J168" s="16" t="n">
        <f aca="false">IF(G168=0,"",I168/G168)</f>
        <v>0</v>
      </c>
      <c r="K168" s="17" t="n">
        <f aca="false">IF(ISNUMBER(E168),IF(E168&gt;0,G168/E168*1000000,""),"")</f>
        <v>27.5618764125462</v>
      </c>
      <c r="L168" s="17" t="n">
        <f aca="false">IF(G168=0,"",H168/G168)</f>
        <v>2</v>
      </c>
      <c r="M168" s="13" t="s">
        <v>26</v>
      </c>
      <c r="N168" s="15"/>
      <c r="O168" s="13" t="n">
        <v>0</v>
      </c>
      <c r="P168" s="13" t="n">
        <v>2</v>
      </c>
      <c r="Q168" s="13" t="n">
        <v>0</v>
      </c>
    </row>
    <row r="169" customFormat="false" ht="15" hidden="false" customHeight="true" outlineLevel="0" collapsed="false">
      <c r="A169" s="13" t="s">
        <v>366</v>
      </c>
      <c r="B169" s="13" t="s">
        <v>367</v>
      </c>
      <c r="C169" s="13" t="s">
        <v>25</v>
      </c>
      <c r="D169" s="14" t="s">
        <v>201</v>
      </c>
      <c r="E169" s="15" t="n">
        <v>7007502</v>
      </c>
      <c r="F169" s="13" t="s">
        <v>21</v>
      </c>
      <c r="G169" s="13" t="n">
        <v>1</v>
      </c>
      <c r="H169" s="13" t="n">
        <f aca="false">O169+P169+Q169</f>
        <v>0</v>
      </c>
      <c r="I169" s="13" t="n">
        <v>1</v>
      </c>
      <c r="J169" s="16" t="n">
        <f aca="false">IF(G169=0,"",I169/G169)</f>
        <v>1</v>
      </c>
      <c r="K169" s="17" t="n">
        <f aca="false">IF(ISNUMBER(E169),IF(E169&gt;0,G169/E169*1000000,""),"")</f>
        <v>0.14270420472231</v>
      </c>
      <c r="L169" s="17" t="n">
        <f aca="false">IF(G169=0,"",H169/G169)</f>
        <v>0</v>
      </c>
      <c r="M169" s="13" t="s">
        <v>36</v>
      </c>
      <c r="N169" s="15"/>
      <c r="O169" s="13" t="n">
        <v>0</v>
      </c>
      <c r="P169" s="13" t="n">
        <v>0</v>
      </c>
      <c r="Q169" s="13" t="n">
        <v>0</v>
      </c>
    </row>
    <row r="170" customFormat="false" ht="15" hidden="false" customHeight="true" outlineLevel="0" collapsed="false">
      <c r="A170" s="13" t="s">
        <v>368</v>
      </c>
      <c r="B170" s="13" t="s">
        <v>369</v>
      </c>
      <c r="C170" s="13" t="s">
        <v>92</v>
      </c>
      <c r="D170" s="14" t="s">
        <v>201</v>
      </c>
      <c r="E170" s="15" t="n">
        <v>10762817</v>
      </c>
      <c r="F170" s="13" t="s">
        <v>21</v>
      </c>
      <c r="G170" s="13" t="n">
        <v>1</v>
      </c>
      <c r="H170" s="13" t="n">
        <f aca="false">O170+P170+Q170</f>
        <v>1</v>
      </c>
      <c r="I170" s="13" t="n">
        <v>0</v>
      </c>
      <c r="J170" s="16" t="n">
        <f aca="false">IF(G170=0,"",I170/G170)</f>
        <v>0</v>
      </c>
      <c r="K170" s="17" t="n">
        <f aca="false">IF(ISNUMBER(E170),IF(E170&gt;0,G170/E170*1000000,""),"")</f>
        <v>0.0929124782108625</v>
      </c>
      <c r="L170" s="17" t="n">
        <f aca="false">IF(G170=0,"",H170/G170)</f>
        <v>1</v>
      </c>
      <c r="M170" s="13" t="s">
        <v>36</v>
      </c>
      <c r="N170" s="15"/>
      <c r="O170" s="13" t="n">
        <v>0</v>
      </c>
      <c r="P170" s="13" t="n">
        <v>1</v>
      </c>
      <c r="Q170" s="13" t="n">
        <v>0</v>
      </c>
    </row>
    <row r="171" customFormat="false" ht="15" hidden="false" customHeight="true" outlineLevel="0" collapsed="false">
      <c r="A171" s="13" t="s">
        <v>370</v>
      </c>
      <c r="B171" s="13" t="s">
        <v>371</v>
      </c>
      <c r="C171" s="13" t="s">
        <v>92</v>
      </c>
      <c r="D171" s="14" t="s">
        <v>201</v>
      </c>
      <c r="E171" s="15" t="n">
        <v>838645</v>
      </c>
      <c r="F171" s="13" t="s">
        <v>21</v>
      </c>
      <c r="G171" s="13" t="n">
        <v>1</v>
      </c>
      <c r="H171" s="13" t="n">
        <f aca="false">O171+P171+Q171</f>
        <v>1</v>
      </c>
      <c r="I171" s="13" t="n">
        <v>0</v>
      </c>
      <c r="J171" s="16" t="n">
        <f aca="false">IF(G171=0,"",I171/G171)</f>
        <v>0</v>
      </c>
      <c r="K171" s="17" t="n">
        <f aca="false">IF(ISNUMBER(E171),IF(E171&gt;0,G171/E171*1000000,""),"")</f>
        <v>1.19239964466491</v>
      </c>
      <c r="L171" s="17" t="n">
        <f aca="false">IF(G171=0,"",H171/G171)</f>
        <v>1</v>
      </c>
      <c r="M171" s="13" t="s">
        <v>36</v>
      </c>
      <c r="N171" s="15"/>
      <c r="O171" s="13" t="n">
        <v>0</v>
      </c>
      <c r="P171" s="13" t="n">
        <v>1</v>
      </c>
      <c r="Q171" s="13" t="n">
        <v>0</v>
      </c>
    </row>
    <row r="172" customFormat="false" ht="15" hidden="false" customHeight="true" outlineLevel="0" collapsed="false">
      <c r="A172" s="13" t="s">
        <v>372</v>
      </c>
      <c r="B172" s="13" t="s">
        <v>373</v>
      </c>
      <c r="C172" s="13" t="s">
        <v>25</v>
      </c>
      <c r="D172" s="14" t="s">
        <v>201</v>
      </c>
      <c r="E172" s="15" t="n">
        <v>6365503</v>
      </c>
      <c r="F172" s="13" t="s">
        <v>21</v>
      </c>
      <c r="G172" s="13" t="n">
        <v>1</v>
      </c>
      <c r="H172" s="13" t="n">
        <f aca="false">O172+P172+Q172</f>
        <v>1</v>
      </c>
      <c r="I172" s="13" t="n">
        <v>0</v>
      </c>
      <c r="J172" s="16" t="n">
        <f aca="false">IF(G172=0,"",I172/G172)</f>
        <v>0</v>
      </c>
      <c r="K172" s="17" t="n">
        <f aca="false">IF(ISNUMBER(E172),IF(E172&gt;0,G172/E172*1000000,""),"")</f>
        <v>0.157096776169927</v>
      </c>
      <c r="L172" s="17" t="n">
        <f aca="false">IF(G172=0,"",H172/G172)</f>
        <v>1</v>
      </c>
      <c r="M172" s="13" t="s">
        <v>26</v>
      </c>
      <c r="N172" s="15"/>
      <c r="O172" s="13" t="n">
        <v>0</v>
      </c>
      <c r="P172" s="13" t="n">
        <v>1</v>
      </c>
      <c r="Q172" s="13" t="n">
        <v>0</v>
      </c>
    </row>
    <row r="173" customFormat="false" ht="15" hidden="false" customHeight="true" outlineLevel="0" collapsed="false">
      <c r="A173" s="13" t="s">
        <v>374</v>
      </c>
      <c r="B173" s="13" t="s">
        <v>375</v>
      </c>
      <c r="C173" s="13" t="s">
        <v>19</v>
      </c>
      <c r="D173" s="14" t="s">
        <v>201</v>
      </c>
      <c r="E173" s="15" t="n">
        <v>10786734</v>
      </c>
      <c r="F173" s="13" t="s">
        <v>21</v>
      </c>
      <c r="G173" s="13" t="n">
        <v>1</v>
      </c>
      <c r="H173" s="13" t="n">
        <f aca="false">O173+P173+Q173</f>
        <v>1</v>
      </c>
      <c r="I173" s="13" t="n">
        <v>0</v>
      </c>
      <c r="J173" s="16" t="n">
        <f aca="false">IF(G173=0,"",I173/G173)</f>
        <v>0</v>
      </c>
      <c r="K173" s="17" t="n">
        <f aca="false">IF(ISNUMBER(E173),IF(E173&gt;0,G173/E173*1000000,""),"")</f>
        <v>0.0927064670362688</v>
      </c>
      <c r="L173" s="17" t="n">
        <f aca="false">IF(G173=0,"",H173/G173)</f>
        <v>1</v>
      </c>
      <c r="M173" s="13" t="s">
        <v>36</v>
      </c>
      <c r="N173" s="15"/>
      <c r="O173" s="13" t="n">
        <v>0</v>
      </c>
      <c r="P173" s="13" t="n">
        <v>1</v>
      </c>
      <c r="Q173" s="13" t="n">
        <v>0</v>
      </c>
    </row>
    <row r="174" customFormat="false" ht="15" hidden="false" customHeight="true" outlineLevel="0" collapsed="false">
      <c r="A174" s="13" t="s">
        <v>376</v>
      </c>
      <c r="B174" s="13" t="s">
        <v>377</v>
      </c>
      <c r="C174" s="13" t="s">
        <v>19</v>
      </c>
      <c r="D174" s="14" t="s">
        <v>201</v>
      </c>
      <c r="E174" s="15" t="n">
        <v>7618847</v>
      </c>
      <c r="F174" s="13" t="s">
        <v>21</v>
      </c>
      <c r="G174" s="13" t="n">
        <v>1</v>
      </c>
      <c r="H174" s="13" t="n">
        <f aca="false">O174+P174+Q174</f>
        <v>0</v>
      </c>
      <c r="I174" s="13" t="n">
        <v>1</v>
      </c>
      <c r="J174" s="16" t="n">
        <f aca="false">IF(G174=0,"",I174/G174)</f>
        <v>1</v>
      </c>
      <c r="K174" s="17" t="n">
        <f aca="false">IF(ISNUMBER(E174),IF(E174&gt;0,G174/E174*1000000,""),"")</f>
        <v>0.131253456067565</v>
      </c>
      <c r="L174" s="17" t="n">
        <f aca="false">IF(G174=0,"",H174/G174)</f>
        <v>0</v>
      </c>
      <c r="M174" s="13" t="s">
        <v>26</v>
      </c>
      <c r="N174" s="15"/>
      <c r="O174" s="13" t="n">
        <v>0</v>
      </c>
      <c r="P174" s="13" t="n">
        <v>0</v>
      </c>
      <c r="Q174" s="13" t="n">
        <v>0</v>
      </c>
    </row>
    <row r="175" customFormat="false" ht="15" hidden="false" customHeight="true" outlineLevel="0" collapsed="false">
      <c r="A175" s="13" t="s">
        <v>378</v>
      </c>
      <c r="B175" s="13" t="s">
        <v>379</v>
      </c>
      <c r="C175" s="13" t="s">
        <v>92</v>
      </c>
      <c r="D175" s="14" t="s">
        <v>201</v>
      </c>
      <c r="E175" s="15" t="n">
        <v>103742</v>
      </c>
      <c r="F175" s="13" t="s">
        <v>21</v>
      </c>
      <c r="G175" s="13" t="n">
        <v>1</v>
      </c>
      <c r="H175" s="13" t="n">
        <f aca="false">O175+P175+Q175</f>
        <v>1</v>
      </c>
      <c r="I175" s="13" t="n">
        <v>0</v>
      </c>
      <c r="J175" s="16" t="n">
        <f aca="false">IF(G175=0,"",I175/G175)</f>
        <v>0</v>
      </c>
      <c r="K175" s="17" t="n">
        <f aca="false">IF(ISNUMBER(E175),IF(E175&gt;0,G175/E175*1000000,""),"")</f>
        <v>9.63929748799908</v>
      </c>
      <c r="L175" s="17" t="n">
        <f aca="false">IF(G175=0,"",H175/G175)</f>
        <v>1</v>
      </c>
      <c r="M175" s="13" t="s">
        <v>26</v>
      </c>
      <c r="N175" s="15"/>
      <c r="O175" s="13" t="n">
        <v>0</v>
      </c>
      <c r="P175" s="13" t="n">
        <v>1</v>
      </c>
      <c r="Q175" s="13" t="n">
        <v>0</v>
      </c>
    </row>
    <row r="176" customFormat="false" ht="15" hidden="false" customHeight="true" outlineLevel="0" collapsed="false">
      <c r="A176" s="13" t="s">
        <v>380</v>
      </c>
      <c r="B176" s="13" t="s">
        <v>381</v>
      </c>
      <c r="C176" s="13" t="s">
        <v>92</v>
      </c>
      <c r="D176" s="14" t="s">
        <v>201</v>
      </c>
      <c r="E176" s="15" t="n">
        <v>9492</v>
      </c>
      <c r="F176" s="13" t="s">
        <v>21</v>
      </c>
      <c r="G176" s="13" t="n">
        <v>1</v>
      </c>
      <c r="H176" s="13" t="n">
        <f aca="false">O176+P176+Q176</f>
        <v>0</v>
      </c>
      <c r="I176" s="13" t="n">
        <v>1</v>
      </c>
      <c r="J176" s="16" t="n">
        <f aca="false">IF(G176=0,"",I176/G176)</f>
        <v>1</v>
      </c>
      <c r="K176" s="17" t="n">
        <f aca="false">IF(ISNUMBER(E176),IF(E176&gt;0,G176/E176*1000000,""),"")</f>
        <v>105.35187526338</v>
      </c>
      <c r="L176" s="17" t="n">
        <f aca="false">IF(G176=0,"",H176/G176)</f>
        <v>0</v>
      </c>
      <c r="M176" s="13" t="s">
        <v>26</v>
      </c>
      <c r="N176" s="15"/>
      <c r="O176" s="13" t="n">
        <v>0</v>
      </c>
      <c r="P176" s="13" t="n">
        <v>0</v>
      </c>
      <c r="Q176" s="13" t="n">
        <v>0</v>
      </c>
    </row>
    <row r="177" customFormat="false" ht="15" hidden="false" customHeight="true" outlineLevel="0" collapsed="false">
      <c r="A177" s="13" t="s">
        <v>382</v>
      </c>
      <c r="B177" s="13" t="s">
        <v>383</v>
      </c>
      <c r="C177" s="13" t="s">
        <v>19</v>
      </c>
      <c r="D177" s="14" t="s">
        <v>201</v>
      </c>
      <c r="E177" s="15" t="n">
        <v>37053428</v>
      </c>
      <c r="F177" s="13" t="s">
        <v>21</v>
      </c>
      <c r="G177" s="13" t="n">
        <v>1</v>
      </c>
      <c r="H177" s="13" t="n">
        <f aca="false">O177+P177+Q177</f>
        <v>1</v>
      </c>
      <c r="I177" s="13" t="n">
        <v>0</v>
      </c>
      <c r="J177" s="16" t="n">
        <f aca="false">IF(G177=0,"",I177/G177)</f>
        <v>0</v>
      </c>
      <c r="K177" s="17" t="n">
        <f aca="false">IF(ISNUMBER(E177),IF(E177&gt;0,G177/E177*1000000,""),"")</f>
        <v>0.0269880562737677</v>
      </c>
      <c r="L177" s="17" t="n">
        <f aca="false">IF(G177=0,"",H177/G177)</f>
        <v>1</v>
      </c>
      <c r="M177" s="13" t="s">
        <v>36</v>
      </c>
      <c r="N177" s="15"/>
      <c r="O177" s="13" t="n">
        <v>0</v>
      </c>
      <c r="P177" s="13" t="n">
        <v>1</v>
      </c>
      <c r="Q177" s="13" t="n">
        <v>0</v>
      </c>
    </row>
    <row r="178" customFormat="false" ht="15" hidden="false" customHeight="true" outlineLevel="0" collapsed="false">
      <c r="A178" s="13" t="s">
        <v>384</v>
      </c>
      <c r="B178" s="13" t="s">
        <v>385</v>
      </c>
      <c r="C178" s="13" t="s">
        <v>25</v>
      </c>
      <c r="D178" s="14" t="s">
        <v>201</v>
      </c>
      <c r="E178" s="15" t="n">
        <v>99924</v>
      </c>
      <c r="F178" s="13" t="s">
        <v>21</v>
      </c>
      <c r="G178" s="13" t="n">
        <v>1</v>
      </c>
      <c r="H178" s="13" t="n">
        <f aca="false">O178+P178+Q178</f>
        <v>1</v>
      </c>
      <c r="I178" s="13" t="n">
        <v>0</v>
      </c>
      <c r="J178" s="16" t="n">
        <f aca="false">IF(G178=0,"",I178/G178)</f>
        <v>0</v>
      </c>
      <c r="K178" s="17" t="n">
        <f aca="false">IF(ISNUMBER(E178),IF(E178&gt;0,G178/E178*1000000,""),"")</f>
        <v>10.0076057803931</v>
      </c>
      <c r="L178" s="17" t="n">
        <f aca="false">IF(G178=0,"",H178/G178)</f>
        <v>1</v>
      </c>
      <c r="M178" s="13" t="s">
        <v>26</v>
      </c>
      <c r="N178" s="15"/>
      <c r="O178" s="13" t="n">
        <v>0</v>
      </c>
      <c r="P178" s="13" t="n">
        <v>1</v>
      </c>
      <c r="Q178" s="13" t="n">
        <v>0</v>
      </c>
    </row>
    <row r="179" customFormat="false" ht="15" hidden="false" customHeight="true" outlineLevel="0" collapsed="false">
      <c r="A179" s="13" t="s">
        <v>386</v>
      </c>
      <c r="B179" s="13" t="s">
        <v>387</v>
      </c>
      <c r="C179" s="13" t="s">
        <v>92</v>
      </c>
      <c r="D179" s="14" t="s">
        <v>201</v>
      </c>
      <c r="E179" s="15" t="n">
        <v>335169</v>
      </c>
      <c r="F179" s="13" t="s">
        <v>21</v>
      </c>
      <c r="G179" s="13" t="n">
        <v>1</v>
      </c>
      <c r="H179" s="13" t="n">
        <f aca="false">O179+P179+Q179</f>
        <v>2</v>
      </c>
      <c r="I179" s="13" t="n">
        <v>0</v>
      </c>
      <c r="J179" s="16" t="n">
        <f aca="false">IF(G179=0,"",I179/G179)</f>
        <v>0</v>
      </c>
      <c r="K179" s="17" t="n">
        <f aca="false">IF(ISNUMBER(E179),IF(E179&gt;0,G179/E179*1000000,""),"")</f>
        <v>2.9835694828579</v>
      </c>
      <c r="L179" s="17" t="n">
        <f aca="false">IF(G179=0,"",H179/G179)</f>
        <v>2</v>
      </c>
      <c r="M179" s="13" t="s">
        <v>36</v>
      </c>
      <c r="N179" s="15"/>
      <c r="O179" s="13" t="n">
        <v>0</v>
      </c>
      <c r="P179" s="13" t="n">
        <v>2</v>
      </c>
      <c r="Q179" s="13" t="n">
        <v>0</v>
      </c>
    </row>
    <row r="180" customFormat="false" ht="15" hidden="false" customHeight="true" outlineLevel="0" collapsed="false">
      <c r="A180" s="13" t="s">
        <v>388</v>
      </c>
      <c r="B180" s="13" t="s">
        <v>389</v>
      </c>
      <c r="C180" s="13" t="s">
        <v>92</v>
      </c>
      <c r="D180" s="14" t="s">
        <v>201</v>
      </c>
      <c r="E180" s="15" t="n">
        <v>219306</v>
      </c>
      <c r="F180" s="13" t="s">
        <v>21</v>
      </c>
      <c r="G180" s="13" t="n">
        <v>1</v>
      </c>
      <c r="H180" s="13" t="n">
        <f aca="false">O180+P180+Q180</f>
        <v>1</v>
      </c>
      <c r="I180" s="13" t="n">
        <v>0</v>
      </c>
      <c r="J180" s="16" t="n">
        <f aca="false">IF(G180=0,"",I180/G180)</f>
        <v>0</v>
      </c>
      <c r="K180" s="17" t="n">
        <f aca="false">IF(ISNUMBER(E180),IF(E180&gt;0,G180/E180*1000000,""),"")</f>
        <v>4.5598387641013</v>
      </c>
      <c r="L180" s="17" t="n">
        <f aca="false">IF(G180=0,"",H180/G180)</f>
        <v>1</v>
      </c>
      <c r="M180" s="13" t="s">
        <v>26</v>
      </c>
      <c r="N180" s="15"/>
      <c r="O180" s="13" t="n">
        <v>0</v>
      </c>
      <c r="P180" s="13" t="n">
        <v>1</v>
      </c>
      <c r="Q180" s="13" t="n">
        <v>0</v>
      </c>
    </row>
    <row r="181" customFormat="false" ht="15" hidden="false" customHeight="true" outlineLevel="0" collapsed="false">
      <c r="A181" s="18" t="s">
        <v>390</v>
      </c>
      <c r="B181" s="18" t="s">
        <v>391</v>
      </c>
      <c r="C181" s="18" t="s">
        <v>29</v>
      </c>
      <c r="D181" s="19" t="s">
        <v>392</v>
      </c>
      <c r="E181" s="20" t="n">
        <v>14569341</v>
      </c>
      <c r="F181" s="18" t="s">
        <v>21</v>
      </c>
      <c r="G181" s="18" t="n">
        <v>9</v>
      </c>
      <c r="H181" s="18" t="n">
        <f aca="false">O181+P181+Q181</f>
        <v>6</v>
      </c>
      <c r="I181" s="18" t="n">
        <v>2</v>
      </c>
      <c r="J181" s="21" t="n">
        <f aca="false">IF(G181=0,"",I181/G181)</f>
        <v>0.222222222222222</v>
      </c>
      <c r="K181" s="22" t="n">
        <f aca="false">IF(ISNUMBER(E181),IF(E181&gt;0,G181/E181*1000000,""),"")</f>
        <v>0.617735558526635</v>
      </c>
      <c r="L181" s="22" t="n">
        <f aca="false">IF(G181=0,"",H181/G181)</f>
        <v>0.666666666666667</v>
      </c>
      <c r="M181" s="18" t="s">
        <v>30</v>
      </c>
      <c r="N181" s="20"/>
      <c r="O181" s="18" t="n">
        <v>4</v>
      </c>
      <c r="P181" s="18" t="n">
        <v>1</v>
      </c>
      <c r="Q181" s="18" t="n">
        <v>1</v>
      </c>
    </row>
    <row r="182" customFormat="false" ht="15" hidden="false" customHeight="true" outlineLevel="0" collapsed="false">
      <c r="A182" s="18" t="s">
        <v>393</v>
      </c>
      <c r="B182" s="18" t="s">
        <v>394</v>
      </c>
      <c r="C182" s="18" t="s">
        <v>29</v>
      </c>
      <c r="D182" s="19" t="s">
        <v>392</v>
      </c>
      <c r="E182" s="20" t="n">
        <v>51384894</v>
      </c>
      <c r="F182" s="18" t="s">
        <v>21</v>
      </c>
      <c r="G182" s="18" t="n">
        <v>9</v>
      </c>
      <c r="H182" s="18" t="n">
        <f aca="false">O182+P182+Q182</f>
        <v>4</v>
      </c>
      <c r="I182" s="18" t="n">
        <v>5</v>
      </c>
      <c r="J182" s="21" t="n">
        <f aca="false">IF(G182=0,"",I182/G182)</f>
        <v>0.555555555555556</v>
      </c>
      <c r="K182" s="22" t="n">
        <f aca="false">IF(ISNUMBER(E182),IF(E182&gt;0,G182/E182*1000000,""),"")</f>
        <v>0.175148750915006</v>
      </c>
      <c r="L182" s="22" t="n">
        <f aca="false">IF(G182=0,"",H182/G182)</f>
        <v>0.444444444444444</v>
      </c>
      <c r="M182" s="18" t="s">
        <v>30</v>
      </c>
      <c r="N182" s="20"/>
      <c r="O182" s="18" t="n">
        <v>2</v>
      </c>
      <c r="P182" s="18" t="n">
        <v>2</v>
      </c>
      <c r="Q182" s="18" t="n">
        <v>0</v>
      </c>
    </row>
    <row r="183" customFormat="false" ht="15" hidden="false" customHeight="true" outlineLevel="0" collapsed="false">
      <c r="A183" s="18" t="s">
        <v>395</v>
      </c>
      <c r="B183" s="18" t="s">
        <v>396</v>
      </c>
      <c r="C183" s="18" t="s">
        <v>29</v>
      </c>
      <c r="D183" s="19" t="s">
        <v>392</v>
      </c>
      <c r="E183" s="20" t="n">
        <v>2249515</v>
      </c>
      <c r="F183" s="18" t="s">
        <v>21</v>
      </c>
      <c r="G183" s="18" t="n">
        <v>8</v>
      </c>
      <c r="H183" s="18" t="n">
        <f aca="false">O183+P183+Q183</f>
        <v>7</v>
      </c>
      <c r="I183" s="18" t="n">
        <v>2</v>
      </c>
      <c r="J183" s="21" t="n">
        <f aca="false">IF(G183=0,"",I183/G183)</f>
        <v>0.25</v>
      </c>
      <c r="K183" s="22" t="n">
        <f aca="false">IF(ISNUMBER(E183),IF(E183&gt;0,G183/E183*1000000,""),"")</f>
        <v>3.5563221405503</v>
      </c>
      <c r="L183" s="22" t="n">
        <f aca="false">IF(G183=0,"",H183/G183)</f>
        <v>0.875</v>
      </c>
      <c r="M183" s="18" t="s">
        <v>30</v>
      </c>
      <c r="N183" s="20"/>
      <c r="O183" s="18" t="n">
        <v>3</v>
      </c>
      <c r="P183" s="18" t="n">
        <v>4</v>
      </c>
      <c r="Q183" s="18" t="n">
        <v>0</v>
      </c>
    </row>
    <row r="184" customFormat="false" ht="15" hidden="false" customHeight="true" outlineLevel="0" collapsed="false">
      <c r="A184" s="18" t="s">
        <v>397</v>
      </c>
      <c r="B184" s="18" t="s">
        <v>398</v>
      </c>
      <c r="C184" s="18" t="s">
        <v>29</v>
      </c>
      <c r="D184" s="19" t="s">
        <v>392</v>
      </c>
      <c r="E184" s="20" t="n">
        <v>32740678</v>
      </c>
      <c r="F184" s="18" t="s">
        <v>21</v>
      </c>
      <c r="G184" s="18" t="n">
        <v>8</v>
      </c>
      <c r="H184" s="18" t="n">
        <f aca="false">O184+P184+Q184</f>
        <v>5</v>
      </c>
      <c r="I184" s="18" t="n">
        <v>1</v>
      </c>
      <c r="J184" s="21" t="n">
        <f aca="false">IF(G184=0,"",I184/G184)</f>
        <v>0.125</v>
      </c>
      <c r="K184" s="22" t="n">
        <f aca="false">IF(ISNUMBER(E184),IF(E184&gt;0,G184/E184*1000000,""),"")</f>
        <v>0.244344359637268</v>
      </c>
      <c r="L184" s="22" t="n">
        <f aca="false">IF(G184=0,"",H184/G184)</f>
        <v>0.625</v>
      </c>
      <c r="M184" s="18" t="s">
        <v>30</v>
      </c>
      <c r="N184" s="20"/>
      <c r="O184" s="18" t="n">
        <v>4</v>
      </c>
      <c r="P184" s="18" t="n">
        <v>1</v>
      </c>
      <c r="Q184" s="18" t="n">
        <v>0</v>
      </c>
    </row>
    <row r="185" customFormat="false" ht="15" hidden="false" customHeight="true" outlineLevel="0" collapsed="false">
      <c r="A185" s="18" t="s">
        <v>399</v>
      </c>
      <c r="B185" s="18" t="s">
        <v>400</v>
      </c>
      <c r="C185" s="18" t="s">
        <v>29</v>
      </c>
      <c r="D185" s="19" t="s">
        <v>392</v>
      </c>
      <c r="E185" s="20" t="n">
        <v>22216120</v>
      </c>
      <c r="F185" s="18" t="s">
        <v>21</v>
      </c>
      <c r="G185" s="18" t="n">
        <v>8</v>
      </c>
      <c r="H185" s="18" t="n">
        <f aca="false">O185+P185+Q185</f>
        <v>3</v>
      </c>
      <c r="I185" s="18" t="n">
        <v>4</v>
      </c>
      <c r="J185" s="21" t="n">
        <f aca="false">IF(G185=0,"",I185/G185)</f>
        <v>0.5</v>
      </c>
      <c r="K185" s="22" t="n">
        <f aca="false">IF(ISNUMBER(E185),IF(E185&gt;0,G185/E185*1000000,""),"")</f>
        <v>0.360098883153314</v>
      </c>
      <c r="L185" s="22" t="n">
        <f aca="false">IF(G185=0,"",H185/G185)</f>
        <v>0.375</v>
      </c>
      <c r="M185" s="18" t="s">
        <v>30</v>
      </c>
      <c r="N185" s="20"/>
      <c r="O185" s="18" t="n">
        <v>1</v>
      </c>
      <c r="P185" s="18" t="n">
        <v>1</v>
      </c>
      <c r="Q185" s="18" t="n">
        <v>1</v>
      </c>
    </row>
    <row r="186" customFormat="false" ht="15" hidden="false" customHeight="true" outlineLevel="0" collapsed="false">
      <c r="A186" s="18" t="s">
        <v>401</v>
      </c>
      <c r="B186" s="18" t="s">
        <v>402</v>
      </c>
      <c r="C186" s="18" t="s">
        <v>29</v>
      </c>
      <c r="D186" s="19" t="s">
        <v>392</v>
      </c>
      <c r="E186" s="20" t="n">
        <v>35631653</v>
      </c>
      <c r="F186" s="18" t="s">
        <v>21</v>
      </c>
      <c r="G186" s="18" t="n">
        <v>7</v>
      </c>
      <c r="H186" s="18" t="n">
        <f aca="false">O186+P186+Q186</f>
        <v>4</v>
      </c>
      <c r="I186" s="18" t="n">
        <v>2</v>
      </c>
      <c r="J186" s="21" t="n">
        <f aca="false">IF(G186=0,"",I186/G186)</f>
        <v>0.285714285714286</v>
      </c>
      <c r="K186" s="22" t="n">
        <f aca="false">IF(ISNUMBER(E186),IF(E186&gt;0,G186/E186*1000000,""),"")</f>
        <v>0.1964545400125</v>
      </c>
      <c r="L186" s="22" t="n">
        <f aca="false">IF(G186=0,"",H186/G186)</f>
        <v>0.571428571428571</v>
      </c>
      <c r="M186" s="18" t="s">
        <v>30</v>
      </c>
      <c r="N186" s="20"/>
      <c r="O186" s="18" t="n">
        <v>2</v>
      </c>
      <c r="P186" s="18" t="n">
        <v>1</v>
      </c>
      <c r="Q186" s="18" t="n">
        <v>1</v>
      </c>
    </row>
    <row r="187" customFormat="false" ht="15" hidden="false" customHeight="true" outlineLevel="0" collapsed="false">
      <c r="A187" s="18" t="s">
        <v>403</v>
      </c>
      <c r="B187" s="18" t="s">
        <v>404</v>
      </c>
      <c r="C187" s="18" t="s">
        <v>29</v>
      </c>
      <c r="D187" s="19" t="s">
        <v>392</v>
      </c>
      <c r="E187" s="20" t="n">
        <v>27917831</v>
      </c>
      <c r="F187" s="18" t="s">
        <v>21</v>
      </c>
      <c r="G187" s="18" t="n">
        <v>6</v>
      </c>
      <c r="H187" s="18" t="n">
        <f aca="false">O187+P187+Q187</f>
        <v>6</v>
      </c>
      <c r="I187" s="18" t="n">
        <v>2</v>
      </c>
      <c r="J187" s="21" t="n">
        <f aca="false">IF(G187=0,"",I187/G187)</f>
        <v>0.333333333333333</v>
      </c>
      <c r="K187" s="22" t="n">
        <f aca="false">IF(ISNUMBER(E187),IF(E187&gt;0,G187/E187*1000000,""),"")</f>
        <v>0.214916409516198</v>
      </c>
      <c r="L187" s="22" t="n">
        <f aca="false">IF(G187=0,"",H187/G187)</f>
        <v>1</v>
      </c>
      <c r="M187" s="18" t="s">
        <v>30</v>
      </c>
      <c r="N187" s="20"/>
      <c r="O187" s="18" t="n">
        <v>1</v>
      </c>
      <c r="P187" s="18" t="n">
        <v>3</v>
      </c>
      <c r="Q187" s="18" t="n">
        <v>2</v>
      </c>
    </row>
    <row r="188" customFormat="false" ht="15" hidden="false" customHeight="true" outlineLevel="0" collapsed="false">
      <c r="A188" s="18" t="s">
        <v>405</v>
      </c>
      <c r="B188" s="18" t="s">
        <v>406</v>
      </c>
      <c r="C188" s="18" t="s">
        <v>29</v>
      </c>
      <c r="D188" s="19" t="s">
        <v>392</v>
      </c>
      <c r="E188" s="20" t="n">
        <v>8819794</v>
      </c>
      <c r="F188" s="18" t="s">
        <v>21</v>
      </c>
      <c r="G188" s="18" t="n">
        <v>6</v>
      </c>
      <c r="H188" s="18" t="n">
        <f aca="false">O188+P188+Q188</f>
        <v>2</v>
      </c>
      <c r="I188" s="18" t="n">
        <v>3</v>
      </c>
      <c r="J188" s="21" t="n">
        <f aca="false">IF(G188=0,"",I188/G188)</f>
        <v>0.5</v>
      </c>
      <c r="K188" s="22" t="n">
        <f aca="false">IF(ISNUMBER(E188),IF(E188&gt;0,G188/E188*1000000,""),"")</f>
        <v>0.680287997656181</v>
      </c>
      <c r="L188" s="22" t="n">
        <f aca="false">IF(G188=0,"",H188/G188)</f>
        <v>0.333333333333333</v>
      </c>
      <c r="M188" s="18" t="s">
        <v>30</v>
      </c>
      <c r="N188" s="20"/>
      <c r="O188" s="18" t="n">
        <v>1</v>
      </c>
      <c r="P188" s="18" t="n">
        <v>1</v>
      </c>
      <c r="Q188" s="18" t="n">
        <v>0</v>
      </c>
    </row>
    <row r="189" customFormat="false" ht="15" hidden="false" customHeight="true" outlineLevel="0" collapsed="false">
      <c r="A189" s="18" t="s">
        <v>407</v>
      </c>
      <c r="B189" s="18" t="s">
        <v>408</v>
      </c>
      <c r="C189" s="18" t="s">
        <v>29</v>
      </c>
      <c r="D189" s="19" t="s">
        <v>392</v>
      </c>
      <c r="E189" s="20" t="n">
        <v>21003705</v>
      </c>
      <c r="F189" s="18" t="s">
        <v>21</v>
      </c>
      <c r="G189" s="18" t="n">
        <v>6</v>
      </c>
      <c r="H189" s="18" t="n">
        <f aca="false">O189+P189+Q189</f>
        <v>4</v>
      </c>
      <c r="I189" s="18" t="n">
        <v>3</v>
      </c>
      <c r="J189" s="21" t="n">
        <f aca="false">IF(G189=0,"",I189/G189)</f>
        <v>0.5</v>
      </c>
      <c r="K189" s="22" t="n">
        <f aca="false">IF(ISNUMBER(E189),IF(E189&gt;0,G189/E189*1000000,""),"")</f>
        <v>0.285663886442892</v>
      </c>
      <c r="L189" s="22" t="n">
        <f aca="false">IF(G189=0,"",H189/G189)</f>
        <v>0.666666666666667</v>
      </c>
      <c r="M189" s="18" t="s">
        <v>30</v>
      </c>
      <c r="N189" s="20"/>
      <c r="O189" s="18" t="n">
        <v>1</v>
      </c>
      <c r="P189" s="18" t="n">
        <v>2</v>
      </c>
      <c r="Q189" s="18" t="n">
        <v>1</v>
      </c>
    </row>
    <row r="190" customFormat="false" ht="15" hidden="false" customHeight="true" outlineLevel="0" collapsed="false">
      <c r="A190" s="18" t="s">
        <v>409</v>
      </c>
      <c r="B190" s="18" t="s">
        <v>410</v>
      </c>
      <c r="C190" s="18" t="s">
        <v>29</v>
      </c>
      <c r="D190" s="19" t="s">
        <v>392</v>
      </c>
      <c r="E190" s="20" t="n">
        <v>2822093</v>
      </c>
      <c r="F190" s="18" t="s">
        <v>21</v>
      </c>
      <c r="G190" s="18" t="n">
        <v>5</v>
      </c>
      <c r="H190" s="18" t="n">
        <f aca="false">O190+P190+Q190</f>
        <v>4</v>
      </c>
      <c r="I190" s="18" t="n">
        <v>1</v>
      </c>
      <c r="J190" s="21" t="n">
        <f aca="false">IF(G190=0,"",I190/G190)</f>
        <v>0.2</v>
      </c>
      <c r="K190" s="22" t="n">
        <f aca="false">IF(ISNUMBER(E190),IF(E190&gt;0,G190/E190*1000000,""),"")</f>
        <v>1.77173466643374</v>
      </c>
      <c r="L190" s="22" t="n">
        <f aca="false">IF(G190=0,"",H190/G190)</f>
        <v>0.8</v>
      </c>
      <c r="M190" s="18" t="s">
        <v>30</v>
      </c>
      <c r="N190" s="20"/>
      <c r="O190" s="18" t="n">
        <v>1</v>
      </c>
      <c r="P190" s="18" t="n">
        <v>3</v>
      </c>
      <c r="Q190" s="18" t="n">
        <v>0</v>
      </c>
    </row>
    <row r="191" customFormat="false" ht="15" hidden="false" customHeight="true" outlineLevel="0" collapsed="false">
      <c r="A191" s="18" t="s">
        <v>411</v>
      </c>
      <c r="B191" s="18" t="s">
        <v>412</v>
      </c>
      <c r="C191" s="18" t="s">
        <v>29</v>
      </c>
      <c r="D191" s="19" t="s">
        <v>392</v>
      </c>
      <c r="E191" s="20" t="n">
        <v>14390003</v>
      </c>
      <c r="F191" s="18" t="s">
        <v>21</v>
      </c>
      <c r="G191" s="18" t="n">
        <v>4</v>
      </c>
      <c r="H191" s="18" t="n">
        <f aca="false">O191+P191+Q191</f>
        <v>2</v>
      </c>
      <c r="I191" s="18" t="n">
        <v>2</v>
      </c>
      <c r="J191" s="21" t="n">
        <f aca="false">IF(G191=0,"",I191/G191)</f>
        <v>0.5</v>
      </c>
      <c r="K191" s="22" t="n">
        <f aca="false">IF(ISNUMBER(E191),IF(E191&gt;0,G191/E191*1000000,""),"")</f>
        <v>0.277970755113811</v>
      </c>
      <c r="L191" s="22" t="n">
        <f aca="false">IF(G191=0,"",H191/G191)</f>
        <v>0.5</v>
      </c>
      <c r="M191" s="18" t="s">
        <v>30</v>
      </c>
      <c r="N191" s="20"/>
      <c r="O191" s="18" t="n">
        <v>0</v>
      </c>
      <c r="P191" s="18" t="n">
        <v>2</v>
      </c>
      <c r="Q191" s="18" t="n">
        <v>0</v>
      </c>
    </row>
    <row r="192" customFormat="false" ht="15" hidden="false" customHeight="true" outlineLevel="0" collapsed="false">
      <c r="A192" s="18" t="s">
        <v>413</v>
      </c>
      <c r="B192" s="18" t="s">
        <v>414</v>
      </c>
      <c r="C192" s="18" t="s">
        <v>29</v>
      </c>
      <c r="D192" s="19" t="s">
        <v>392</v>
      </c>
      <c r="E192" s="20" t="n">
        <v>5513282</v>
      </c>
      <c r="F192" s="18" t="s">
        <v>21</v>
      </c>
      <c r="G192" s="18" t="n">
        <v>4</v>
      </c>
      <c r="H192" s="18" t="n">
        <f aca="false">O192+P192+Q192</f>
        <v>3</v>
      </c>
      <c r="I192" s="18" t="n">
        <v>2</v>
      </c>
      <c r="J192" s="21" t="n">
        <f aca="false">IF(G192=0,"",I192/G192)</f>
        <v>0.5</v>
      </c>
      <c r="K192" s="22" t="n">
        <f aca="false">IF(ISNUMBER(E192),IF(E192&gt;0,G192/E192*1000000,""),"")</f>
        <v>0.725520660833239</v>
      </c>
      <c r="L192" s="22" t="n">
        <f aca="false">IF(G192=0,"",H192/G192)</f>
        <v>0.75</v>
      </c>
      <c r="M192" s="18" t="s">
        <v>30</v>
      </c>
      <c r="N192" s="20"/>
      <c r="O192" s="18" t="n">
        <v>0</v>
      </c>
      <c r="P192" s="18" t="n">
        <v>2</v>
      </c>
      <c r="Q192" s="18" t="n">
        <v>1</v>
      </c>
    </row>
    <row r="193" customFormat="false" ht="15" hidden="false" customHeight="true" outlineLevel="0" collapsed="false">
      <c r="A193" s="18" t="s">
        <v>415</v>
      </c>
      <c r="B193" s="18" t="s">
        <v>416</v>
      </c>
      <c r="C193" s="18" t="s">
        <v>29</v>
      </c>
      <c r="D193" s="19" t="s">
        <v>392</v>
      </c>
      <c r="E193" s="20" t="n">
        <v>12188788</v>
      </c>
      <c r="F193" s="18" t="s">
        <v>21</v>
      </c>
      <c r="G193" s="18" t="n">
        <v>4</v>
      </c>
      <c r="H193" s="18" t="n">
        <f aca="false">O193+P193+Q193</f>
        <v>1</v>
      </c>
      <c r="I193" s="18" t="n">
        <v>3</v>
      </c>
      <c r="J193" s="21" t="n">
        <f aca="false">IF(G193=0,"",I193/G193)</f>
        <v>0.75</v>
      </c>
      <c r="K193" s="22" t="n">
        <f aca="false">IF(ISNUMBER(E193),IF(E193&gt;0,G193/E193*1000000,""),"")</f>
        <v>0.328170446479174</v>
      </c>
      <c r="L193" s="22" t="n">
        <f aca="false">IF(G193=0,"",H193/G193)</f>
        <v>0.25</v>
      </c>
      <c r="M193" s="18" t="s">
        <v>30</v>
      </c>
      <c r="N193" s="20"/>
      <c r="O193" s="18" t="n">
        <v>0</v>
      </c>
      <c r="P193" s="18" t="n">
        <v>1</v>
      </c>
      <c r="Q193" s="18" t="n">
        <v>0</v>
      </c>
    </row>
    <row r="194" customFormat="false" ht="15" hidden="false" customHeight="true" outlineLevel="0" collapsed="false">
      <c r="A194" s="18" t="s">
        <v>417</v>
      </c>
      <c r="B194" s="18" t="s">
        <v>418</v>
      </c>
      <c r="C194" s="18" t="s">
        <v>29</v>
      </c>
      <c r="D194" s="19" t="s">
        <v>392</v>
      </c>
      <c r="E194" s="20" t="n">
        <v>3607003</v>
      </c>
      <c r="F194" s="18" t="s">
        <v>21</v>
      </c>
      <c r="G194" s="18" t="n">
        <v>3</v>
      </c>
      <c r="H194" s="18" t="n">
        <f aca="false">O194+P194+Q194</f>
        <v>0</v>
      </c>
      <c r="I194" s="18" t="n">
        <v>3</v>
      </c>
      <c r="J194" s="21" t="n">
        <f aca="false">IF(G194=0,"",I194/G194)</f>
        <v>1</v>
      </c>
      <c r="K194" s="22" t="n">
        <f aca="false">IF(ISNUMBER(E194),IF(E194&gt;0,G194/E194*1000000,""),"")</f>
        <v>0.831715415817508</v>
      </c>
      <c r="L194" s="22" t="n">
        <f aca="false">IF(G194=0,"",H194/G194)</f>
        <v>0</v>
      </c>
      <c r="M194" s="18" t="s">
        <v>30</v>
      </c>
      <c r="N194" s="20"/>
      <c r="O194" s="18" t="n">
        <v>0</v>
      </c>
      <c r="P194" s="18" t="n">
        <v>0</v>
      </c>
      <c r="Q194" s="18" t="n">
        <v>0</v>
      </c>
    </row>
    <row r="195" customFormat="false" ht="15" hidden="false" customHeight="true" outlineLevel="0" collapsed="false">
      <c r="A195" s="18" t="s">
        <v>419</v>
      </c>
      <c r="B195" s="18" t="s">
        <v>420</v>
      </c>
      <c r="C195" s="18" t="s">
        <v>29</v>
      </c>
      <c r="D195" s="19" t="s">
        <v>392</v>
      </c>
      <c r="E195" s="20" t="n">
        <v>5731206</v>
      </c>
      <c r="F195" s="18" t="s">
        <v>21</v>
      </c>
      <c r="G195" s="18" t="n">
        <v>3</v>
      </c>
      <c r="H195" s="18" t="n">
        <f aca="false">O195+P195+Q195</f>
        <v>0</v>
      </c>
      <c r="I195" s="18" t="n">
        <v>3</v>
      </c>
      <c r="J195" s="21" t="n">
        <f aca="false">IF(G195=0,"",I195/G195)</f>
        <v>1</v>
      </c>
      <c r="K195" s="22" t="n">
        <f aca="false">IF(ISNUMBER(E195),IF(E195&gt;0,G195/E195*1000000,""),"")</f>
        <v>0.523450038264198</v>
      </c>
      <c r="L195" s="22" t="n">
        <f aca="false">IF(G195=0,"",H195/G195)</f>
        <v>0</v>
      </c>
      <c r="M195" s="18" t="s">
        <v>30</v>
      </c>
      <c r="N195" s="20"/>
      <c r="O195" s="18" t="n">
        <v>0</v>
      </c>
      <c r="P195" s="18" t="n">
        <v>0</v>
      </c>
      <c r="Q195" s="18" t="n">
        <v>0</v>
      </c>
    </row>
    <row r="196" customFormat="false" ht="15" hidden="false" customHeight="true" outlineLevel="0" collapsed="false">
      <c r="A196" s="23" t="s">
        <v>421</v>
      </c>
      <c r="B196" s="23" t="s">
        <v>422</v>
      </c>
      <c r="C196" s="23" t="s">
        <v>422</v>
      </c>
      <c r="D196" s="24" t="s">
        <v>423</v>
      </c>
      <c r="E196" s="25"/>
      <c r="F196" s="23"/>
      <c r="G196" s="23" t="n">
        <v>225</v>
      </c>
      <c r="H196" s="23" t="n">
        <f aca="false">O196+P196+Q196</f>
        <v>963</v>
      </c>
      <c r="I196" s="23" t="n">
        <v>53</v>
      </c>
      <c r="J196" s="26" t="n">
        <f aca="false">IF(G196=0,"",I196/G196)</f>
        <v>0.235555555555556</v>
      </c>
      <c r="K196" s="27" t="str">
        <f aca="false">IF(ISNUMBER(E196),IF(E196&gt;0,G196/E196*1000000,""),"")</f>
        <v/>
      </c>
      <c r="L196" s="27" t="n">
        <f aca="false">IF(G196=0,"",H196/G196)</f>
        <v>4.28</v>
      </c>
      <c r="M196" s="23"/>
      <c r="N196" s="25"/>
      <c r="O196" s="23" t="n">
        <v>116</v>
      </c>
      <c r="P196" s="23" t="n">
        <v>39</v>
      </c>
      <c r="Q196" s="23" t="n">
        <v>808</v>
      </c>
    </row>
    <row r="197" customFormat="false" ht="15" hidden="false" customHeight="true" outlineLevel="0" collapsed="false">
      <c r="A197" s="23" t="s">
        <v>424</v>
      </c>
      <c r="B197" s="23" t="s">
        <v>425</v>
      </c>
      <c r="C197" s="23" t="s">
        <v>64</v>
      </c>
      <c r="D197" s="24" t="s">
        <v>423</v>
      </c>
      <c r="E197" s="25" t="n">
        <v>451127411</v>
      </c>
      <c r="F197" s="23" t="s">
        <v>21</v>
      </c>
      <c r="G197" s="23" t="n">
        <v>87</v>
      </c>
      <c r="H197" s="23" t="n">
        <f aca="false">O197+P197+Q197</f>
        <v>354</v>
      </c>
      <c r="I197" s="23" t="n">
        <v>35</v>
      </c>
      <c r="J197" s="26" t="n">
        <f aca="false">IF(G197=0,"",I197/G197)</f>
        <v>0.402298850574713</v>
      </c>
      <c r="K197" s="27" t="n">
        <f aca="false">IF(ISNUMBER(E197),IF(E197&gt;0,G197/E197*1000000,""),"")</f>
        <v>0.192850174648332</v>
      </c>
      <c r="L197" s="27" t="n">
        <f aca="false">IF(G197=0,"",H197/G197)</f>
        <v>4.06896551724138</v>
      </c>
      <c r="M197" s="23"/>
      <c r="N197" s="25"/>
      <c r="O197" s="23" t="n">
        <v>51</v>
      </c>
      <c r="P197" s="23" t="n">
        <v>61</v>
      </c>
      <c r="Q197" s="23" t="n">
        <v>242</v>
      </c>
    </row>
    <row r="198" customFormat="false" ht="15" hidden="false" customHeight="true" outlineLevel="0" collapsed="false">
      <c r="A198" s="28" t="s">
        <v>426</v>
      </c>
      <c r="B198" s="28" t="s">
        <v>427</v>
      </c>
      <c r="C198" s="28" t="s">
        <v>19</v>
      </c>
      <c r="D198" s="29" t="s">
        <v>428</v>
      </c>
      <c r="E198" s="30"/>
      <c r="F198" s="28"/>
      <c r="G198" s="28" t="n">
        <v>109</v>
      </c>
      <c r="H198" s="28" t="n">
        <f aca="false">O198+P198+Q198</f>
        <v>75</v>
      </c>
      <c r="I198" s="28" t="n">
        <v>50</v>
      </c>
      <c r="J198" s="31" t="n">
        <f aca="false">IF(G198=0,"",I198/G198)</f>
        <v>0.458715596330275</v>
      </c>
      <c r="K198" s="32" t="str">
        <f aca="false">IF(ISNUMBER(E198),IF(E198&gt;0,G198/E198*1000000,""),"")</f>
        <v/>
      </c>
      <c r="L198" s="32" t="n">
        <f aca="false">IF(G198=0,"",H198/G198)</f>
        <v>0.688073394495413</v>
      </c>
      <c r="M198" s="28"/>
      <c r="N198" s="30"/>
      <c r="O198" s="28" t="n">
        <v>60</v>
      </c>
      <c r="P198" s="28" t="n">
        <v>15</v>
      </c>
      <c r="Q198" s="28" t="n">
        <v>0</v>
      </c>
    </row>
    <row r="199" customFormat="false" ht="15" hidden="false" customHeight="true" outlineLevel="0" collapsed="false">
      <c r="A199" s="28" t="s">
        <v>429</v>
      </c>
      <c r="B199" s="28" t="s">
        <v>430</v>
      </c>
      <c r="C199" s="28" t="s">
        <v>92</v>
      </c>
      <c r="D199" s="29" t="s">
        <v>428</v>
      </c>
      <c r="E199" s="30"/>
      <c r="F199" s="28"/>
      <c r="G199" s="28" t="n">
        <v>6</v>
      </c>
      <c r="H199" s="28" t="n">
        <f aca="false">O199+P199+Q199</f>
        <v>11</v>
      </c>
      <c r="I199" s="28" t="n">
        <v>0</v>
      </c>
      <c r="J199" s="31" t="n">
        <f aca="false">IF(G199=0,"",I199/G199)</f>
        <v>0</v>
      </c>
      <c r="K199" s="32" t="str">
        <f aca="false">IF(ISNUMBER(E199),IF(E199&gt;0,G199/E199*1000000,""),"")</f>
        <v/>
      </c>
      <c r="L199" s="32" t="n">
        <f aca="false">IF(G199=0,"",H199/G199)</f>
        <v>1.83333333333333</v>
      </c>
      <c r="M199" s="28"/>
      <c r="N199" s="30"/>
      <c r="O199" s="28" t="n">
        <v>3</v>
      </c>
      <c r="P199" s="28" t="n">
        <v>8</v>
      </c>
      <c r="Q199" s="28" t="n">
        <v>0</v>
      </c>
    </row>
    <row r="200" customFormat="false" ht="15" hidden="false" customHeight="true" outlineLevel="0" collapsed="false">
      <c r="A200" s="28" t="s">
        <v>431</v>
      </c>
      <c r="B200" s="28" t="s">
        <v>432</v>
      </c>
      <c r="C200" s="28" t="s">
        <v>92</v>
      </c>
      <c r="D200" s="29" t="s">
        <v>428</v>
      </c>
      <c r="E200" s="30"/>
      <c r="F200" s="28"/>
      <c r="G200" s="28" t="n">
        <v>3</v>
      </c>
      <c r="H200" s="28" t="n">
        <f aca="false">O200+P200+Q200</f>
        <v>2</v>
      </c>
      <c r="I200" s="28" t="n">
        <v>0</v>
      </c>
      <c r="J200" s="31" t="n">
        <f aca="false">IF(G200=0,"",I200/G200)</f>
        <v>0</v>
      </c>
      <c r="K200" s="32" t="str">
        <f aca="false">IF(ISNUMBER(E200),IF(E200&gt;0,G200/E200*1000000,""),"")</f>
        <v/>
      </c>
      <c r="L200" s="32" t="n">
        <f aca="false">IF(G200=0,"",H200/G200)</f>
        <v>0.666666666666667</v>
      </c>
      <c r="M200" s="28"/>
      <c r="N200" s="30"/>
      <c r="O200" s="28" t="n">
        <v>2</v>
      </c>
      <c r="P200" s="28" t="n">
        <v>0</v>
      </c>
      <c r="Q200" s="28" t="n">
        <v>0</v>
      </c>
    </row>
    <row r="201" customFormat="false" ht="15" hidden="false" customHeight="true" outlineLevel="0" collapsed="false">
      <c r="A201" s="28" t="s">
        <v>433</v>
      </c>
      <c r="B201" s="28" t="s">
        <v>434</v>
      </c>
      <c r="C201" s="28" t="s">
        <v>92</v>
      </c>
      <c r="D201" s="29" t="s">
        <v>428</v>
      </c>
      <c r="E201" s="30"/>
      <c r="F201" s="28"/>
      <c r="G201" s="28" t="n">
        <v>2</v>
      </c>
      <c r="H201" s="28" t="n">
        <f aca="false">O201+P201+Q201</f>
        <v>1</v>
      </c>
      <c r="I201" s="28" t="n">
        <v>0</v>
      </c>
      <c r="J201" s="31" t="n">
        <f aca="false">IF(G201=0,"",I201/G201)</f>
        <v>0</v>
      </c>
      <c r="K201" s="32" t="str">
        <f aca="false">IF(ISNUMBER(E201),IF(E201&gt;0,G201/E201*1000000,""),"")</f>
        <v/>
      </c>
      <c r="L201" s="32" t="n">
        <f aca="false">IF(G201=0,"",H201/G201)</f>
        <v>0.5</v>
      </c>
      <c r="M201" s="28"/>
      <c r="N201" s="30"/>
      <c r="O201" s="28" t="n">
        <v>1</v>
      </c>
      <c r="P201" s="28" t="n">
        <v>0</v>
      </c>
      <c r="Q201" s="28" t="n">
        <v>0</v>
      </c>
    </row>
  </sheetData>
  <autoFilter ref="A1:Q201"/>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10"/>
  </cols>
  <sheetData>
    <row r="1" customFormat="false" ht="29.25" hidden="false" customHeight="true" outlineLevel="0" collapsed="false">
      <c r="A1" s="33" t="s">
        <v>435</v>
      </c>
    </row>
    <row r="2" customFormat="false" ht="15" hidden="false" customHeight="true" outlineLevel="0" collapsed="false">
      <c r="A2" s="34"/>
    </row>
    <row r="3" customFormat="false" ht="15" hidden="false" customHeight="true" outlineLevel="0" collapsed="false">
      <c r="A3" s="34" t="s">
        <v>436</v>
      </c>
      <c r="B3" s="35" t="s">
        <v>437</v>
      </c>
    </row>
    <row r="4" customFormat="false" ht="23.25" hidden="false" customHeight="true" outlineLevel="0" collapsed="false">
      <c r="A4" s="34" t="s">
        <v>438</v>
      </c>
      <c r="B4" s="35" t="s">
        <v>439</v>
      </c>
    </row>
    <row r="5" customFormat="false" ht="15" hidden="false" customHeight="true" outlineLevel="0" collapsed="false">
      <c r="A5" s="34" t="s">
        <v>440</v>
      </c>
      <c r="B5" s="35" t="s">
        <v>441</v>
      </c>
    </row>
    <row r="6" customFormat="false" ht="15" hidden="false" customHeight="true" outlineLevel="0" collapsed="false">
      <c r="A6" s="34"/>
    </row>
    <row r="7" customFormat="false" ht="15" hidden="false" customHeight="true" outlineLevel="0" collapsed="false">
      <c r="A7" s="36" t="s">
        <v>442</v>
      </c>
    </row>
    <row r="8" customFormat="false" ht="15" hidden="false" customHeight="true" outlineLevel="0" collapsed="false">
      <c r="A8" s="34" t="s">
        <v>6</v>
      </c>
      <c r="B8" s="35" t="s">
        <v>443</v>
      </c>
    </row>
    <row r="9" customFormat="false" ht="23.25" hidden="false" customHeight="true" outlineLevel="0" collapsed="false">
      <c r="A9" s="34" t="s">
        <v>7</v>
      </c>
      <c r="B9" s="35" t="s">
        <v>444</v>
      </c>
    </row>
    <row r="10" customFormat="false" ht="15" hidden="false" customHeight="true" outlineLevel="0" collapsed="false">
      <c r="A10" s="34" t="s">
        <v>8</v>
      </c>
      <c r="B10" s="35" t="s">
        <v>445</v>
      </c>
    </row>
    <row r="11" customFormat="false" ht="23.25" hidden="false" customHeight="true" outlineLevel="0" collapsed="false">
      <c r="A11" s="34" t="s">
        <v>10</v>
      </c>
      <c r="B11" s="35" t="s">
        <v>446</v>
      </c>
    </row>
    <row r="12" customFormat="false" ht="15" hidden="false" customHeight="true" outlineLevel="0" collapsed="false">
      <c r="A12" s="34"/>
    </row>
    <row r="13" customFormat="false" ht="15" hidden="false" customHeight="true" outlineLevel="0" collapsed="false">
      <c r="A13" s="36" t="s">
        <v>447</v>
      </c>
    </row>
    <row r="14" customFormat="false" ht="15" hidden="false" customHeight="true" outlineLevel="0" collapsed="false">
      <c r="A14" s="34" t="s">
        <v>448</v>
      </c>
      <c r="B14" s="35" t="s">
        <v>449</v>
      </c>
    </row>
    <row r="15" customFormat="false" ht="15" hidden="false" customHeight="true" outlineLevel="0" collapsed="false">
      <c r="A15" s="34" t="s">
        <v>450</v>
      </c>
      <c r="B15" s="35" t="s">
        <v>451</v>
      </c>
    </row>
    <row r="16" customFormat="false" ht="34.5" hidden="false" customHeight="true" outlineLevel="0" collapsed="false">
      <c r="A16" s="34" t="s">
        <v>452</v>
      </c>
      <c r="B16" s="35" t="s">
        <v>453</v>
      </c>
    </row>
    <row r="17" customFormat="false" ht="15" hidden="false" customHeight="true" outlineLevel="0" collapsed="false">
      <c r="A17" s="34"/>
    </row>
    <row r="18" customFormat="false" ht="26.25" hidden="false" customHeight="true" outlineLevel="0" collapsed="false">
      <c r="A18" s="36" t="s">
        <v>454</v>
      </c>
    </row>
    <row r="19" customFormat="false" ht="15" hidden="false" customHeight="true" outlineLevel="0" collapsed="false">
      <c r="A19" s="34" t="s">
        <v>455</v>
      </c>
      <c r="B19" s="35" t="s">
        <v>456</v>
      </c>
    </row>
    <row r="20" customFormat="false" ht="23.25" hidden="false" customHeight="true" outlineLevel="0" collapsed="false">
      <c r="A20" s="34" t="s">
        <v>20</v>
      </c>
      <c r="B20" s="35" t="s">
        <v>457</v>
      </c>
    </row>
    <row r="21" customFormat="false" ht="15" hidden="false" customHeight="true" outlineLevel="0" collapsed="false">
      <c r="A21" s="34" t="s">
        <v>71</v>
      </c>
      <c r="B21" s="35" t="s">
        <v>458</v>
      </c>
    </row>
    <row r="22" customFormat="false" ht="15" hidden="false" customHeight="true" outlineLevel="0" collapsed="false">
      <c r="A22" s="34" t="s">
        <v>201</v>
      </c>
      <c r="B22" s="35" t="s">
        <v>459</v>
      </c>
    </row>
    <row r="23" customFormat="false" ht="15" hidden="false" customHeight="true" outlineLevel="0" collapsed="false">
      <c r="A23" s="34" t="s">
        <v>392</v>
      </c>
      <c r="B23" s="35" t="s">
        <v>460</v>
      </c>
    </row>
    <row r="24" customFormat="false" ht="15" hidden="false" customHeight="true" outlineLevel="0" collapsed="false">
      <c r="A24" s="34" t="s">
        <v>423</v>
      </c>
      <c r="B24" s="35" t="s">
        <v>461</v>
      </c>
    </row>
    <row r="25" customFormat="false" ht="15" hidden="false" customHeight="true" outlineLevel="0" collapsed="false">
      <c r="A25" s="34"/>
    </row>
    <row r="26" customFormat="false" ht="26.25" hidden="false" customHeight="true" outlineLevel="0" collapsed="false">
      <c r="A26" s="36" t="s">
        <v>462</v>
      </c>
    </row>
    <row r="27" customFormat="false" ht="23.25" hidden="false" customHeight="true" outlineLevel="0" collapsed="false">
      <c r="A27" s="34" t="s">
        <v>463</v>
      </c>
      <c r="B27" s="35" t="s">
        <v>464</v>
      </c>
    </row>
    <row r="28" customFormat="false" ht="23.25" hidden="false" customHeight="true" outlineLevel="0" collapsed="false">
      <c r="A28" s="34" t="s">
        <v>465</v>
      </c>
      <c r="B28" s="35" t="s">
        <v>466</v>
      </c>
    </row>
    <row r="29" customFormat="false" ht="23.25" hidden="false" customHeight="true" outlineLevel="0" collapsed="false">
      <c r="A29" s="34" t="s">
        <v>467</v>
      </c>
      <c r="B29" s="35" t="s">
        <v>468</v>
      </c>
    </row>
    <row r="30" customFormat="false" ht="15" hidden="false" customHeight="true" outlineLevel="0" collapsed="false">
      <c r="A30" s="34"/>
    </row>
    <row r="31" customFormat="false" ht="15" hidden="false" customHeight="true" outlineLevel="0" collapsed="false">
      <c r="A31" s="36" t="s">
        <v>469</v>
      </c>
    </row>
    <row r="32" customFormat="false" ht="34.5" hidden="false" customHeight="true" outlineLevel="0" collapsed="false">
      <c r="A32" s="34" t="s">
        <v>470</v>
      </c>
      <c r="B32" s="35" t="s">
        <v>471</v>
      </c>
    </row>
    <row r="34" customFormat="false" ht="15" hidden="false" customHeight="true" outlineLevel="0" collapsed="false">
      <c r="A34" s="36" t="s">
        <v>472</v>
      </c>
    </row>
    <row r="35" customFormat="false" ht="15" hidden="false" customHeight="true" outlineLevel="0" collapsed="false">
      <c r="A35" s="4" t="s">
        <v>20</v>
      </c>
      <c r="B35" s="37" t="s">
        <v>473</v>
      </c>
    </row>
    <row r="36" customFormat="false" ht="15" hidden="false" customHeight="true" outlineLevel="0" collapsed="false">
      <c r="A36" s="9" t="s">
        <v>71</v>
      </c>
      <c r="B36" s="37" t="s">
        <v>474</v>
      </c>
    </row>
    <row r="37" customFormat="false" ht="15" hidden="false" customHeight="true" outlineLevel="0" collapsed="false">
      <c r="A37" s="14" t="s">
        <v>201</v>
      </c>
      <c r="B37" s="37" t="s">
        <v>475</v>
      </c>
    </row>
    <row r="38" customFormat="false" ht="15" hidden="false" customHeight="true" outlineLevel="0" collapsed="false">
      <c r="A38" s="19" t="s">
        <v>392</v>
      </c>
      <c r="B38" s="37" t="s">
        <v>476</v>
      </c>
    </row>
    <row r="39" customFormat="false" ht="15" hidden="false" customHeight="true" outlineLevel="0" collapsed="false">
      <c r="A39" s="24" t="s">
        <v>423</v>
      </c>
      <c r="B39" s="37"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8"/>
    <col collapsed="false" customWidth="true" hidden="false" outlineLevel="0" max="3" min="3" style="1" width="16"/>
    <col collapsed="false" customWidth="true" hidden="false" outlineLevel="0" max="4" min="4" style="1" width="10"/>
    <col collapsed="false" customWidth="true" hidden="false" outlineLevel="0" max="5" min="5" style="1" width="14"/>
    <col collapsed="false" customWidth="true" hidden="false" outlineLevel="0" max="6" min="6" style="1" width="16"/>
    <col collapsed="false" customWidth="true" hidden="false" outlineLevel="0" max="7" min="7" style="1" width="12"/>
    <col collapsed="false" customWidth="true" hidden="false" outlineLevel="0" max="8" min="8" style="1" width="15"/>
    <col collapsed="false" customWidth="true" hidden="false" outlineLevel="0" max="9" min="9" style="1" width="12"/>
  </cols>
  <sheetData>
    <row r="1" customFormat="false" ht="42" hidden="false" customHeight="true" outlineLevel="0" collapsed="false">
      <c r="A1" s="38" t="s">
        <v>3</v>
      </c>
      <c r="B1" s="38" t="s">
        <v>478</v>
      </c>
      <c r="C1" s="38" t="s">
        <v>4</v>
      </c>
      <c r="D1" s="38" t="s">
        <v>6</v>
      </c>
      <c r="E1" s="38" t="s">
        <v>7</v>
      </c>
      <c r="F1" s="38" t="s">
        <v>8</v>
      </c>
      <c r="G1" s="38" t="s">
        <v>9</v>
      </c>
      <c r="H1" s="38" t="s">
        <v>10</v>
      </c>
      <c r="I1" s="38" t="s">
        <v>11</v>
      </c>
    </row>
    <row r="2" customFormat="false" ht="15" hidden="false" customHeight="true" outlineLevel="0" collapsed="false">
      <c r="A2" s="4" t="s">
        <v>20</v>
      </c>
      <c r="B2" s="3" t="n">
        <f aca="false">COUNTIF('Coverage by country'!$D$2:$D$201,$A2)</f>
        <v>20</v>
      </c>
      <c r="C2" s="5" t="n">
        <f aca="false">SUMIF('Coverage by country'!$D$2:$D$201,$A2,'Coverage by country'!$E$2:$E$201)</f>
        <v>1448645899</v>
      </c>
      <c r="D2" s="3" t="n">
        <f aca="false">SUMIF('Coverage by country'!$D$2:$D$201,$A2,'Coverage by country'!$G$2:$G$201)</f>
        <v>456</v>
      </c>
      <c r="E2" s="3" t="n">
        <f aca="false">SUMIF('Coverage by country'!$D$2:$D$201,$A2,'Coverage by country'!$H$2:$H$201)</f>
        <v>392</v>
      </c>
      <c r="F2" s="3" t="n">
        <f aca="false">SUMIF('Coverage by country'!$D$2:$D$201,$A2,'Coverage by country'!$I$2:$I$201)</f>
        <v>133</v>
      </c>
      <c r="G2" s="6" t="n">
        <f aca="false">IF($D2=0,"",$F2/$D2)</f>
        <v>0.291666666666667</v>
      </c>
      <c r="H2" s="7" t="n">
        <f aca="false">IF($C2=0,"",$D2/$C2*1000000)</f>
        <v>0.314776716873859</v>
      </c>
      <c r="I2" s="7" t="n">
        <f aca="false">IF($D2=0,"",$E2/$D2)</f>
        <v>0.859649122807018</v>
      </c>
    </row>
    <row r="3" customFormat="false" ht="15" hidden="false" customHeight="true" outlineLevel="0" collapsed="false">
      <c r="A3" s="9" t="s">
        <v>71</v>
      </c>
      <c r="B3" s="8" t="n">
        <f aca="false">COUNTIF('Coverage by country'!$D$2:$D$201,$A3)</f>
        <v>64</v>
      </c>
      <c r="C3" s="10" t="n">
        <f aca="false">SUMIF('Coverage by country'!$D$2:$D$201,$A3,'Coverage by country'!$E$2:$E$201)</f>
        <v>1254260003</v>
      </c>
      <c r="D3" s="8" t="n">
        <f aca="false">SUMIF('Coverage by country'!$D$2:$D$201,$A3,'Coverage by country'!$G$2:$G$201)</f>
        <v>1304</v>
      </c>
      <c r="E3" s="8" t="n">
        <f aca="false">SUMIF('Coverage by country'!$D$2:$D$201,$A3,'Coverage by country'!$H$2:$H$201)</f>
        <v>1607</v>
      </c>
      <c r="F3" s="8" t="n">
        <f aca="false">SUMIF('Coverage by country'!$D$2:$D$201,$A3,'Coverage by country'!$I$2:$I$201)</f>
        <v>169</v>
      </c>
      <c r="G3" s="11" t="n">
        <f aca="false">IF($D3=0,"",$F3/$D3)</f>
        <v>0.129601226993865</v>
      </c>
      <c r="H3" s="12" t="n">
        <f aca="false">IF($C3=0,"",$D3/$C3*1000000)</f>
        <v>1.03965684697035</v>
      </c>
      <c r="I3" s="12" t="n">
        <f aca="false">IF($D3=0,"",$E3/$D3)</f>
        <v>1.23236196319018</v>
      </c>
    </row>
    <row r="4" customFormat="false" ht="15" hidden="false" customHeight="true" outlineLevel="0" collapsed="false">
      <c r="A4" s="14" t="s">
        <v>201</v>
      </c>
      <c r="B4" s="13" t="n">
        <f aca="false">COUNTIF('Coverage by country'!$D$2:$D$201,$A4)</f>
        <v>95</v>
      </c>
      <c r="C4" s="15" t="n">
        <f aca="false">SUMIF('Coverage by country'!$D$2:$D$201,$A4,'Coverage by country'!$E$2:$E$201)</f>
        <v>5199078175</v>
      </c>
      <c r="D4" s="13" t="n">
        <f aca="false">SUMIF('Coverage by country'!$D$2:$D$201,$A4,'Coverage by country'!$G$2:$G$201)</f>
        <v>1403</v>
      </c>
      <c r="E4" s="13" t="n">
        <f aca="false">SUMIF('Coverage by country'!$D$2:$D$201,$A4,'Coverage by country'!$H$2:$H$201)</f>
        <v>1147</v>
      </c>
      <c r="F4" s="13" t="n">
        <f aca="false">SUMIF('Coverage by country'!$D$2:$D$201,$A4,'Coverage by country'!$I$2:$I$201)</f>
        <v>492</v>
      </c>
      <c r="G4" s="16" t="n">
        <f aca="false">IF($D4=0,"",$F4/$D4)</f>
        <v>0.350677120456165</v>
      </c>
      <c r="H4" s="17" t="n">
        <f aca="false">IF($C4=0,"",$D4/$C4*1000000)</f>
        <v>0.269855530687418</v>
      </c>
      <c r="I4" s="17" t="n">
        <f aca="false">IF($D4=0,"",$E4/$D4)</f>
        <v>0.817533856022808</v>
      </c>
    </row>
    <row r="5" customFormat="false" ht="15" hidden="false" customHeight="true" outlineLevel="0" collapsed="false">
      <c r="A5" s="19" t="s">
        <v>392</v>
      </c>
      <c r="B5" s="18" t="n">
        <f aca="false">COUNTIF('Coverage by country'!$D$2:$D$201,$A5)</f>
        <v>15</v>
      </c>
      <c r="C5" s="20" t="n">
        <f aca="false">SUMIF('Coverage by country'!$D$2:$D$201,$A5,'Coverage by country'!$E$2:$E$201)</f>
        <v>260785906</v>
      </c>
      <c r="D5" s="18" t="n">
        <f aca="false">SUMIF('Coverage by country'!$D$2:$D$201,$A5,'Coverage by country'!$G$2:$G$201)</f>
        <v>90</v>
      </c>
      <c r="E5" s="18" t="n">
        <f aca="false">SUMIF('Coverage by country'!$D$2:$D$201,$A5,'Coverage by country'!$H$2:$H$201)</f>
        <v>51</v>
      </c>
      <c r="F5" s="18" t="n">
        <f aca="false">SUMIF('Coverage by country'!$D$2:$D$201,$A5,'Coverage by country'!$I$2:$I$201)</f>
        <v>38</v>
      </c>
      <c r="G5" s="21" t="n">
        <f aca="false">IF($D5=0,"",$F5/$D5)</f>
        <v>0.422222222222222</v>
      </c>
      <c r="H5" s="22" t="n">
        <f aca="false">IF($C5=0,"",$D5/$C5*1000000)</f>
        <v>0.34511067480771</v>
      </c>
      <c r="I5" s="22" t="n">
        <f aca="false">IF($D5=0,"",$E5/$D5)</f>
        <v>0.566666666666667</v>
      </c>
    </row>
    <row r="6" customFormat="false" ht="15" hidden="false" customHeight="true" outlineLevel="0" collapsed="false">
      <c r="A6" s="24" t="s">
        <v>423</v>
      </c>
      <c r="B6" s="23" t="n">
        <f aca="false">COUNTIF('Coverage by country'!$D$2:$D$201,$A6)</f>
        <v>2</v>
      </c>
      <c r="C6" s="25" t="n">
        <f aca="false">SUMIF('Coverage by country'!$D$2:$D$201,$A6,'Coverage by country'!$E$2:$E$201)</f>
        <v>451127411</v>
      </c>
      <c r="D6" s="23" t="n">
        <f aca="false">SUMIF('Coverage by country'!$D$2:$D$201,$A6,'Coverage by country'!$G$2:$G$201)</f>
        <v>312</v>
      </c>
      <c r="E6" s="23" t="n">
        <f aca="false">SUMIF('Coverage by country'!$D$2:$D$201,$A6,'Coverage by country'!$H$2:$H$201)</f>
        <v>1317</v>
      </c>
      <c r="F6" s="23" t="n">
        <f aca="false">SUMIF('Coverage by country'!$D$2:$D$201,$A6,'Coverage by country'!$I$2:$I$201)</f>
        <v>88</v>
      </c>
      <c r="G6" s="26" t="n">
        <f aca="false">IF($D6=0,"",$F6/$D6)</f>
        <v>0.282051282051282</v>
      </c>
      <c r="H6" s="27" t="n">
        <f aca="false">IF($C6=0,"",$D6/$C6*1000000)</f>
        <v>0.691600626325054</v>
      </c>
      <c r="I6" s="27" t="n">
        <f aca="false">IF($D6=0,"",$E6/$D6)</f>
        <v>4.22115384615385</v>
      </c>
    </row>
    <row r="7" customFormat="false" ht="15" hidden="false" customHeight="true" outlineLevel="0" collapsed="false">
      <c r="A7" s="29" t="s">
        <v>428</v>
      </c>
      <c r="B7" s="28" t="n">
        <f aca="false">COUNTIF('Coverage by country'!$D$2:$D$201,$A7)</f>
        <v>4</v>
      </c>
      <c r="C7" s="30" t="n">
        <f aca="false">SUMIF('Coverage by country'!$D$2:$D$201,$A7,'Coverage by country'!$E$2:$E$201)</f>
        <v>0</v>
      </c>
      <c r="D7" s="28" t="n">
        <f aca="false">SUMIF('Coverage by country'!$D$2:$D$201,$A7,'Coverage by country'!$G$2:$G$201)</f>
        <v>120</v>
      </c>
      <c r="E7" s="28" t="n">
        <f aca="false">SUMIF('Coverage by country'!$D$2:$D$201,$A7,'Coverage by country'!$H$2:$H$201)</f>
        <v>89</v>
      </c>
      <c r="F7" s="28" t="n">
        <f aca="false">SUMIF('Coverage by country'!$D$2:$D$201,$A7,'Coverage by country'!$I$2:$I$201)</f>
        <v>50</v>
      </c>
      <c r="G7" s="31" t="n">
        <f aca="false">IF($D7=0,"",$F7/$D7)</f>
        <v>0.416666666666667</v>
      </c>
      <c r="H7" s="32" t="str">
        <f aca="false">IF($C7=0,"",$D7/$C7*1000000)</f>
        <v/>
      </c>
      <c r="I7" s="32" t="n">
        <f aca="false">IF($D7=0,"",$E7/$D7)</f>
        <v>0.741666666666667</v>
      </c>
    </row>
    <row r="8" customFormat="false" ht="15" hidden="false" customHeight="true" outlineLevel="0" collapsed="false">
      <c r="A8" s="29" t="s">
        <v>479</v>
      </c>
      <c r="B8" s="29" t="n">
        <f aca="false">SUM(B2:B7)</f>
        <v>200</v>
      </c>
      <c r="C8" s="39" t="n">
        <f aca="false">SUM(C2:C7)</f>
        <v>8613897394</v>
      </c>
      <c r="D8" s="29" t="n">
        <f aca="false">SUM(D2:D7)</f>
        <v>3685</v>
      </c>
      <c r="E8" s="29" t="n">
        <f aca="false">SUM(E2:E7)</f>
        <v>4603</v>
      </c>
      <c r="F8" s="29" t="n">
        <f aca="false">SUM(F2:F7)</f>
        <v>970</v>
      </c>
    </row>
    <row r="10" customFormat="false" ht="15" hidden="false" customHeight="true" outlineLevel="0" collapsed="false">
      <c r="A10" s="40" t="s">
        <v>480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6"/>
    <col collapsed="false" customWidth="true" hidden="false" outlineLevel="0" max="4" min="4" style="1" width="10"/>
    <col collapsed="false" customWidth="true" hidden="false" outlineLevel="0" max="5" min="5" style="1" width="14"/>
    <col collapsed="false" customWidth="true" hidden="false" outlineLevel="0" max="6" min="6" style="1" width="16"/>
    <col collapsed="false" customWidth="true" hidden="false" outlineLevel="0" max="7" min="7" style="1" width="12"/>
    <col collapsed="false" customWidth="true" hidden="false" outlineLevel="0" max="8" min="8" style="1" width="15"/>
    <col collapsed="false" customWidth="true" hidden="false" outlineLevel="0" max="9" min="9" style="1" width="12"/>
  </cols>
  <sheetData>
    <row r="1" customFormat="false" ht="42" hidden="false" customHeight="true" outlineLevel="0" collapsed="false">
      <c r="A1" s="38" t="s">
        <v>2</v>
      </c>
      <c r="B1" s="38" t="s">
        <v>478</v>
      </c>
      <c r="C1" s="38" t="s">
        <v>4</v>
      </c>
      <c r="D1" s="38" t="s">
        <v>6</v>
      </c>
      <c r="E1" s="38" t="s">
        <v>7</v>
      </c>
      <c r="F1" s="38" t="s">
        <v>8</v>
      </c>
      <c r="G1" s="38" t="s">
        <v>9</v>
      </c>
      <c r="H1" s="38" t="s">
        <v>10</v>
      </c>
      <c r="I1" s="38" t="s">
        <v>11</v>
      </c>
    </row>
    <row r="2" customFormat="false" ht="15" hidden="false" customHeight="true" outlineLevel="0" collapsed="false">
      <c r="A2" s="29" t="s">
        <v>29</v>
      </c>
      <c r="B2" s="28" t="n">
        <f aca="false">COUNTIF('Coverage by country'!$C$2:$C$201,$A2)</f>
        <v>54</v>
      </c>
      <c r="C2" s="30" t="n">
        <f aca="false">SUMIF('Coverage by country'!$C$2:$C$201,$A2,'Coverage by country'!$E$2:$E$201)</f>
        <v>1546877498</v>
      </c>
      <c r="D2" s="28" t="n">
        <f aca="false">SUMIF('Coverage by country'!$C$2:$C$201,$A2,'Coverage by country'!$G$2:$G$201)</f>
        <v>511</v>
      </c>
      <c r="E2" s="28" t="n">
        <f aca="false">SUMIF('Coverage by country'!$C$2:$C$201,$A2,'Coverage by country'!$H$2:$H$201)</f>
        <v>304</v>
      </c>
      <c r="F2" s="28" t="n">
        <f aca="false">SUMIF('Coverage by country'!$C$2:$C$201,$A2,'Coverage by country'!$I$2:$I$201)</f>
        <v>218</v>
      </c>
      <c r="G2" s="31" t="n">
        <f aca="false">IF($D2=0,"",$F2/$D2)</f>
        <v>0.426614481409002</v>
      </c>
      <c r="H2" s="32" t="n">
        <f aca="false">IF($C2=0,"",$D2/$C2*1000000)</f>
        <v>0.330342900883028</v>
      </c>
      <c r="I2" s="32" t="n">
        <f aca="false">IF($D2=0,"",$E2/$D2)</f>
        <v>0.594911937377691</v>
      </c>
    </row>
    <row r="3" customFormat="false" ht="15" hidden="false" customHeight="true" outlineLevel="0" collapsed="false">
      <c r="A3" s="29" t="s">
        <v>19</v>
      </c>
      <c r="B3" s="28" t="n">
        <f aca="false">COUNTIF('Coverage by country'!$C$2:$C$201,$A3)</f>
        <v>34</v>
      </c>
      <c r="C3" s="30" t="n">
        <f aca="false">SUMIF('Coverage by country'!$C$2:$C$201,$A3,'Coverage by country'!$E$2:$E$201)</f>
        <v>4528721482</v>
      </c>
      <c r="D3" s="28" t="n">
        <f aca="false">SUMIF('Coverage by country'!$C$2:$C$201,$A3,'Coverage by country'!$G$2:$G$201)</f>
        <v>1007</v>
      </c>
      <c r="E3" s="28" t="n">
        <f aca="false">SUMIF('Coverage by country'!$C$2:$C$201,$A3,'Coverage by country'!$H$2:$H$201)</f>
        <v>920</v>
      </c>
      <c r="F3" s="28" t="n">
        <f aca="false">SUMIF('Coverage by country'!$C$2:$C$201,$A3,'Coverage by country'!$I$2:$I$201)</f>
        <v>322</v>
      </c>
      <c r="G3" s="31" t="n">
        <f aca="false">IF($D3=0,"",$F3/$D3)</f>
        <v>0.319761668321748</v>
      </c>
      <c r="H3" s="32" t="n">
        <f aca="false">IF($C3=0,"",$D3/$C3*1000000)</f>
        <v>0.222358562786971</v>
      </c>
      <c r="I3" s="32" t="n">
        <f aca="false">IF($D3=0,"",$E3/$D3)</f>
        <v>0.913604766633565</v>
      </c>
    </row>
    <row r="4" customFormat="false" ht="15" hidden="false" customHeight="true" outlineLevel="0" collapsed="false">
      <c r="A4" s="29" t="s">
        <v>64</v>
      </c>
      <c r="B4" s="28" t="n">
        <f aca="false">COUNTIF('Coverage by country'!$C$2:$C$201,$A4)</f>
        <v>46</v>
      </c>
      <c r="C4" s="30" t="n">
        <f aca="false">SUMIF('Coverage by country'!$C$2:$C$201,$A4,'Coverage by country'!$E$2:$E$201)</f>
        <v>1139417582</v>
      </c>
      <c r="D4" s="28" t="n">
        <f aca="false">SUMIF('Coverage by country'!$C$2:$C$201,$A4,'Coverage by country'!$G$2:$G$201)</f>
        <v>545</v>
      </c>
      <c r="E4" s="28" t="n">
        <f aca="false">SUMIF('Coverage by country'!$C$2:$C$201,$A4,'Coverage by country'!$H$2:$H$201)</f>
        <v>1043</v>
      </c>
      <c r="F4" s="28" t="n">
        <f aca="false">SUMIF('Coverage by country'!$C$2:$C$201,$A4,'Coverage by country'!$I$2:$I$201)</f>
        <v>52</v>
      </c>
      <c r="G4" s="31" t="n">
        <f aca="false">IF($D4=0,"",$F4/$D4)</f>
        <v>0.0954128440366973</v>
      </c>
      <c r="H4" s="32" t="n">
        <f aca="false">IF($C4=0,"",$D4/$C4*1000000)</f>
        <v>0.478314542982013</v>
      </c>
      <c r="I4" s="32" t="n">
        <f aca="false">IF($D4=0,"",$E4/$D4)</f>
        <v>1.91376146788991</v>
      </c>
    </row>
    <row r="5" customFormat="false" ht="15" hidden="false" customHeight="true" outlineLevel="0" collapsed="false">
      <c r="A5" s="29" t="s">
        <v>422</v>
      </c>
      <c r="B5" s="28" t="n">
        <f aca="false">COUNTIF('Coverage by country'!$C$2:$C$201,$A5)</f>
        <v>1</v>
      </c>
      <c r="C5" s="30" t="n">
        <f aca="false">SUMIF('Coverage by country'!$C$2:$C$201,$A5,'Coverage by country'!$E$2:$E$201)</f>
        <v>0</v>
      </c>
      <c r="D5" s="28" t="n">
        <f aca="false">SUMIF('Coverage by country'!$C$2:$C$201,$A5,'Coverage by country'!$G$2:$G$201)</f>
        <v>225</v>
      </c>
      <c r="E5" s="28" t="n">
        <f aca="false">SUMIF('Coverage by country'!$C$2:$C$201,$A5,'Coverage by country'!$H$2:$H$201)</f>
        <v>963</v>
      </c>
      <c r="F5" s="28" t="n">
        <f aca="false">SUMIF('Coverage by country'!$C$2:$C$201,$A5,'Coverage by country'!$I$2:$I$201)</f>
        <v>53</v>
      </c>
      <c r="G5" s="31" t="n">
        <f aca="false">IF($D5=0,"",$F5/$D5)</f>
        <v>0.235555555555556</v>
      </c>
      <c r="H5" s="32" t="str">
        <f aca="false">IF($C5=0,"",$D5/$C5*1000000)</f>
        <v/>
      </c>
      <c r="I5" s="32" t="n">
        <f aca="false">IF($D5=0,"",$E5/$D5)</f>
        <v>4.28</v>
      </c>
    </row>
    <row r="6" customFormat="false" ht="15" hidden="false" customHeight="true" outlineLevel="0" collapsed="false">
      <c r="A6" s="29" t="s">
        <v>53</v>
      </c>
      <c r="B6" s="28" t="n">
        <f aca="false">COUNTIF('Coverage by country'!$C$2:$C$201,$A6)</f>
        <v>14</v>
      </c>
      <c r="C6" s="30" t="n">
        <f aca="false">SUMIF('Coverage by country'!$C$2:$C$201,$A6,'Coverage by country'!$E$2:$E$201)</f>
        <v>303158535</v>
      </c>
      <c r="D6" s="28" t="n">
        <f aca="false">SUMIF('Coverage by country'!$C$2:$C$201,$A6,'Coverage by country'!$G$2:$G$201)</f>
        <v>147</v>
      </c>
      <c r="E6" s="28" t="n">
        <f aca="false">SUMIF('Coverage by country'!$C$2:$C$201,$A6,'Coverage by country'!$H$2:$H$201)</f>
        <v>118</v>
      </c>
      <c r="F6" s="28" t="n">
        <f aca="false">SUMIF('Coverage by country'!$C$2:$C$201,$A6,'Coverage by country'!$I$2:$I$201)</f>
        <v>64</v>
      </c>
      <c r="G6" s="31" t="n">
        <f aca="false">IF($D6=0,"",$F6/$D6)</f>
        <v>0.435374149659864</v>
      </c>
      <c r="H6" s="32" t="n">
        <f aca="false">IF($C6=0,"",$D6/$C6*1000000)</f>
        <v>0.484894809245598</v>
      </c>
      <c r="I6" s="32" t="n">
        <f aca="false">IF($D6=0,"",$E6/$D6)</f>
        <v>0.802721088435374</v>
      </c>
    </row>
    <row r="7" customFormat="false" ht="15" hidden="false" customHeight="true" outlineLevel="0" collapsed="false">
      <c r="A7" s="29" t="s">
        <v>25</v>
      </c>
      <c r="B7" s="28" t="n">
        <f aca="false">COUNTIF('Coverage by country'!$C$2:$C$201,$A7)</f>
        <v>22</v>
      </c>
      <c r="C7" s="30" t="n">
        <f aca="false">SUMIF('Coverage by country'!$C$2:$C$201,$A7,'Coverage by country'!$E$2:$E$201)</f>
        <v>611476479</v>
      </c>
      <c r="D7" s="28" t="n">
        <f aca="false">SUMIF('Coverage by country'!$C$2:$C$201,$A7,'Coverage by country'!$G$2:$G$201)</f>
        <v>576</v>
      </c>
      <c r="E7" s="28" t="n">
        <f aca="false">SUMIF('Coverage by country'!$C$2:$C$201,$A7,'Coverage by country'!$H$2:$H$201)</f>
        <v>749</v>
      </c>
      <c r="F7" s="28" t="n">
        <f aca="false">SUMIF('Coverage by country'!$C$2:$C$201,$A7,'Coverage by country'!$I$2:$I$201)</f>
        <v>39</v>
      </c>
      <c r="G7" s="31" t="n">
        <f aca="false">IF($D7=0,"",$F7/$D7)</f>
        <v>0.0677083333333333</v>
      </c>
      <c r="H7" s="32" t="n">
        <f aca="false">IF($C7=0,"",$D7/$C7*1000000)</f>
        <v>0.941982267154384</v>
      </c>
      <c r="I7" s="32" t="n">
        <f aca="false">IF($D7=0,"",$E7/$D7)</f>
        <v>1.30034722222222</v>
      </c>
    </row>
    <row r="8" customFormat="false" ht="15" hidden="false" customHeight="true" outlineLevel="0" collapsed="false">
      <c r="A8" s="29" t="s">
        <v>92</v>
      </c>
      <c r="B8" s="28" t="n">
        <f aca="false">COUNTIF('Coverage by country'!$C$2:$C$201,$A8)</f>
        <v>17</v>
      </c>
      <c r="C8" s="30" t="n">
        <f aca="false">SUMIF('Coverage by country'!$C$2:$C$201,$A8,'Coverage by country'!$E$2:$E$201)</f>
        <v>46457577</v>
      </c>
      <c r="D8" s="28" t="n">
        <f aca="false">SUMIF('Coverage by country'!$C$2:$C$201,$A8,'Coverage by country'!$G$2:$G$201)</f>
        <v>92</v>
      </c>
      <c r="E8" s="28" t="n">
        <f aca="false">SUMIF('Coverage by country'!$C$2:$C$201,$A8,'Coverage by country'!$H$2:$H$201)</f>
        <v>110</v>
      </c>
      <c r="F8" s="28" t="n">
        <f aca="false">SUMIF('Coverage by country'!$C$2:$C$201,$A8,'Coverage by country'!$I$2:$I$201)</f>
        <v>8</v>
      </c>
      <c r="G8" s="31" t="n">
        <f aca="false">IF($D8=0,"",$F8/$D8)</f>
        <v>0.0869565217391304</v>
      </c>
      <c r="H8" s="32" t="n">
        <f aca="false">IF($C8=0,"",$D8/$C8*1000000)</f>
        <v>1.98030129724587</v>
      </c>
      <c r="I8" s="32" t="n">
        <f aca="false">IF($D8=0,"",$E8/$D8)</f>
        <v>1.19565217391304</v>
      </c>
    </row>
    <row r="9" customFormat="false" ht="15" hidden="false" customHeight="true" outlineLevel="0" collapsed="false">
      <c r="A9" s="29" t="s">
        <v>33</v>
      </c>
      <c r="B9" s="28" t="n">
        <f aca="false">COUNTIF('Coverage by country'!$C$2:$C$201,$A9)</f>
        <v>12</v>
      </c>
      <c r="C9" s="30" t="n">
        <f aca="false">SUMIF('Coverage by country'!$C$2:$C$201,$A9,'Coverage by country'!$E$2:$E$201)</f>
        <v>437788241</v>
      </c>
      <c r="D9" s="28" t="n">
        <f aca="false">SUMIF('Coverage by country'!$C$2:$C$201,$A9,'Coverage by country'!$G$2:$G$201)</f>
        <v>582</v>
      </c>
      <c r="E9" s="28" t="n">
        <f aca="false">SUMIF('Coverage by country'!$C$2:$C$201,$A9,'Coverage by country'!$H$2:$H$201)</f>
        <v>396</v>
      </c>
      <c r="F9" s="28" t="n">
        <f aca="false">SUMIF('Coverage by country'!$C$2:$C$201,$A9,'Coverage by country'!$I$2:$I$201)</f>
        <v>214</v>
      </c>
      <c r="G9" s="31" t="n">
        <f aca="false">IF($D9=0,"",$F9/$D9)</f>
        <v>0.367697594501718</v>
      </c>
      <c r="H9" s="32" t="n">
        <f aca="false">IF($C9=0,"",$D9/$C9*1000000)</f>
        <v>1.32940985045782</v>
      </c>
      <c r="I9" s="32" t="n">
        <f aca="false">IF($D9=0,"",$E9/$D9)</f>
        <v>0.680412371134021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7"/>
    <col collapsed="false" customWidth="true" hidden="false" outlineLevel="0" max="4" min="4" style="1" width="24"/>
    <col collapsed="false" customWidth="true" hidden="false" outlineLevel="0" max="6" min="5" style="1" width="8"/>
    <col collapsed="false" customWidth="true" hidden="false" outlineLevel="0" max="7" min="7" style="1" width="16"/>
    <col collapsed="false" customWidth="true" hidden="false" outlineLevel="0" max="8" min="8" style="1" width="14"/>
    <col collapsed="false" customWidth="true" hidden="false" outlineLevel="0" max="9" min="9" style="1" width="90"/>
  </cols>
  <sheetData>
    <row r="1" customFormat="false" ht="15" hidden="false" customHeight="true" outlineLevel="0" collapsed="false">
      <c r="A1" s="41" t="s">
        <v>481</v>
      </c>
    </row>
    <row r="2" customFormat="false" ht="15" hidden="false" customHeight="true" outlineLevel="0" collapsed="false">
      <c r="A2" s="29" t="s">
        <v>482</v>
      </c>
      <c r="B2" s="29" t="s">
        <v>483</v>
      </c>
      <c r="C2" s="29" t="s">
        <v>0</v>
      </c>
      <c r="D2" s="29" t="s">
        <v>484</v>
      </c>
      <c r="E2" s="29" t="s">
        <v>6</v>
      </c>
      <c r="F2" s="29" t="s">
        <v>485</v>
      </c>
      <c r="G2" s="29" t="s">
        <v>486</v>
      </c>
      <c r="H2" s="29" t="s">
        <v>11</v>
      </c>
      <c r="I2" s="29" t="s">
        <v>487</v>
      </c>
    </row>
    <row r="3" customFormat="false" ht="15" hidden="false" customHeight="true" outlineLevel="0" collapsed="false">
      <c r="A3" s="28" t="s">
        <v>488</v>
      </c>
      <c r="B3" s="28" t="n">
        <v>1</v>
      </c>
      <c r="C3" s="28" t="s">
        <v>212</v>
      </c>
      <c r="D3" s="28" t="s">
        <v>213</v>
      </c>
      <c r="E3" s="28" t="n">
        <v>60</v>
      </c>
      <c r="F3" s="28" t="n">
        <v>10</v>
      </c>
      <c r="G3" s="28" t="n">
        <v>51</v>
      </c>
      <c r="H3" s="28" t="n">
        <v>0.17</v>
      </c>
      <c r="I3" s="28" t="s">
        <v>489</v>
      </c>
    </row>
    <row r="4" customFormat="false" ht="15" hidden="false" customHeight="true" outlineLevel="0" collapsed="false">
      <c r="A4" s="28" t="s">
        <v>488</v>
      </c>
      <c r="B4" s="28" t="n">
        <v>2</v>
      </c>
      <c r="C4" s="28" t="s">
        <v>426</v>
      </c>
      <c r="D4" s="28" t="s">
        <v>427</v>
      </c>
      <c r="E4" s="28" t="n">
        <v>109</v>
      </c>
      <c r="F4" s="28" t="n">
        <v>75</v>
      </c>
      <c r="G4" s="28" t="n">
        <v>50</v>
      </c>
      <c r="H4" s="28" t="n">
        <v>0.69</v>
      </c>
      <c r="I4" s="28" t="s">
        <v>490</v>
      </c>
    </row>
    <row r="5" customFormat="false" ht="15" hidden="false" customHeight="true" outlineLevel="0" collapsed="false">
      <c r="A5" s="28" t="s">
        <v>488</v>
      </c>
      <c r="B5" s="28" t="n">
        <v>3</v>
      </c>
      <c r="C5" s="28" t="s">
        <v>204</v>
      </c>
      <c r="D5" s="28" t="s">
        <v>205</v>
      </c>
      <c r="E5" s="28" t="n">
        <v>98</v>
      </c>
      <c r="F5" s="28" t="n">
        <v>61</v>
      </c>
      <c r="G5" s="28" t="n">
        <v>37</v>
      </c>
      <c r="H5" s="28" t="n">
        <v>0.62</v>
      </c>
      <c r="I5" s="28" t="s">
        <v>491</v>
      </c>
    </row>
    <row r="6" customFormat="false" ht="15" hidden="false" customHeight="true" outlineLevel="0" collapsed="false">
      <c r="A6" s="28" t="s">
        <v>488</v>
      </c>
      <c r="B6" s="28" t="n">
        <v>4</v>
      </c>
      <c r="C6" s="28" t="s">
        <v>86</v>
      </c>
      <c r="D6" s="28" t="s">
        <v>87</v>
      </c>
      <c r="E6" s="28" t="n">
        <v>38</v>
      </c>
      <c r="F6" s="28" t="n">
        <v>13</v>
      </c>
      <c r="G6" s="28" t="n">
        <v>30</v>
      </c>
      <c r="H6" s="28" t="n">
        <v>0.34</v>
      </c>
      <c r="I6" s="28" t="s">
        <v>492</v>
      </c>
    </row>
    <row r="7" customFormat="false" ht="15" hidden="false" customHeight="true" outlineLevel="0" collapsed="false">
      <c r="A7" s="28" t="s">
        <v>488</v>
      </c>
      <c r="B7" s="28" t="n">
        <v>5</v>
      </c>
      <c r="C7" s="28" t="s">
        <v>228</v>
      </c>
      <c r="D7" s="28" t="s">
        <v>229</v>
      </c>
      <c r="E7" s="28" t="n">
        <v>29</v>
      </c>
      <c r="F7" s="28" t="n">
        <v>2</v>
      </c>
      <c r="G7" s="28" t="n">
        <v>28</v>
      </c>
      <c r="H7" s="28" t="n">
        <v>0.07</v>
      </c>
      <c r="I7" s="28" t="s">
        <v>493</v>
      </c>
    </row>
    <row r="8" customFormat="false" ht="15" hidden="false" customHeight="true" outlineLevel="0" collapsed="false">
      <c r="A8" s="28" t="s">
        <v>488</v>
      </c>
      <c r="B8" s="28" t="n">
        <v>6</v>
      </c>
      <c r="C8" s="28" t="s">
        <v>214</v>
      </c>
      <c r="D8" s="28" t="s">
        <v>215</v>
      </c>
      <c r="E8" s="28" t="n">
        <v>52</v>
      </c>
      <c r="F8" s="28" t="n">
        <v>25</v>
      </c>
      <c r="G8" s="28" t="n">
        <v>25</v>
      </c>
      <c r="H8" s="28" t="n">
        <v>0.48</v>
      </c>
      <c r="I8" s="28" t="s">
        <v>494</v>
      </c>
    </row>
    <row r="9" customFormat="false" ht="15" hidden="false" customHeight="true" outlineLevel="0" collapsed="false">
      <c r="A9" s="28" t="s">
        <v>488</v>
      </c>
      <c r="B9" s="28" t="n">
        <v>7</v>
      </c>
      <c r="C9" s="28" t="s">
        <v>220</v>
      </c>
      <c r="D9" s="28" t="s">
        <v>221</v>
      </c>
      <c r="E9" s="28" t="n">
        <v>45</v>
      </c>
      <c r="F9" s="28" t="n">
        <v>23</v>
      </c>
      <c r="G9" s="28" t="n">
        <v>25</v>
      </c>
      <c r="H9" s="28" t="n">
        <v>0.51</v>
      </c>
      <c r="I9" s="28" t="s">
        <v>495</v>
      </c>
    </row>
    <row r="10" customFormat="false" ht="15" hidden="false" customHeight="true" outlineLevel="0" collapsed="false">
      <c r="A10" s="28" t="s">
        <v>488</v>
      </c>
      <c r="B10" s="28" t="n">
        <v>8</v>
      </c>
      <c r="C10" s="28" t="s">
        <v>78</v>
      </c>
      <c r="D10" s="28" t="s">
        <v>79</v>
      </c>
      <c r="E10" s="28" t="n">
        <v>53</v>
      </c>
      <c r="F10" s="28" t="n">
        <v>28</v>
      </c>
      <c r="G10" s="28" t="n">
        <v>23</v>
      </c>
      <c r="H10" s="28" t="n">
        <v>0.53</v>
      </c>
      <c r="I10" s="28" t="s">
        <v>496</v>
      </c>
    </row>
    <row r="11" customFormat="false" ht="15" hidden="false" customHeight="true" outlineLevel="0" collapsed="false">
      <c r="A11" s="28" t="s">
        <v>488</v>
      </c>
      <c r="B11" s="28" t="n">
        <v>9</v>
      </c>
      <c r="C11" s="28" t="s">
        <v>218</v>
      </c>
      <c r="D11" s="28" t="s">
        <v>219</v>
      </c>
      <c r="E11" s="28" t="n">
        <v>46</v>
      </c>
      <c r="F11" s="28" t="n">
        <v>20</v>
      </c>
      <c r="G11" s="28" t="n">
        <v>23</v>
      </c>
      <c r="H11" s="28" t="n">
        <v>0.43</v>
      </c>
      <c r="I11" s="28" t="s">
        <v>497</v>
      </c>
    </row>
    <row r="12" customFormat="false" ht="15" hidden="false" customHeight="true" outlineLevel="0" collapsed="false">
      <c r="A12" s="28" t="s">
        <v>488</v>
      </c>
      <c r="B12" s="28" t="n">
        <v>10</v>
      </c>
      <c r="C12" s="28" t="s">
        <v>27</v>
      </c>
      <c r="D12" s="28" t="s">
        <v>28</v>
      </c>
      <c r="E12" s="28" t="n">
        <v>41</v>
      </c>
      <c r="F12" s="28" t="n">
        <v>23</v>
      </c>
      <c r="G12" s="28" t="n">
        <v>21</v>
      </c>
      <c r="H12" s="28" t="n">
        <v>0.56</v>
      </c>
      <c r="I12" s="28" t="s">
        <v>498</v>
      </c>
    </row>
    <row r="13" customFormat="false" ht="15" hidden="false" customHeight="true" outlineLevel="0" collapsed="false">
      <c r="A13" s="28" t="s">
        <v>488</v>
      </c>
      <c r="B13" s="28" t="n">
        <v>11</v>
      </c>
      <c r="C13" s="28" t="s">
        <v>88</v>
      </c>
      <c r="D13" s="28" t="s">
        <v>89</v>
      </c>
      <c r="E13" s="28" t="n">
        <v>37</v>
      </c>
      <c r="F13" s="28" t="n">
        <v>14</v>
      </c>
      <c r="G13" s="28" t="n">
        <v>21</v>
      </c>
      <c r="H13" s="28" t="n">
        <v>0.38</v>
      </c>
      <c r="I13" s="28" t="s">
        <v>499</v>
      </c>
    </row>
    <row r="14" customFormat="false" ht="15" hidden="false" customHeight="true" outlineLevel="0" collapsed="false">
      <c r="A14" s="28" t="s">
        <v>488</v>
      </c>
      <c r="B14" s="28" t="n">
        <v>12</v>
      </c>
      <c r="C14" s="28" t="s">
        <v>216</v>
      </c>
      <c r="D14" s="28" t="s">
        <v>217</v>
      </c>
      <c r="E14" s="28" t="n">
        <v>46</v>
      </c>
      <c r="F14" s="28" t="n">
        <v>29</v>
      </c>
      <c r="G14" s="28" t="n">
        <v>19</v>
      </c>
      <c r="H14" s="28" t="n">
        <v>0.63</v>
      </c>
      <c r="I14" s="28" t="s">
        <v>500</v>
      </c>
    </row>
    <row r="15" customFormat="false" ht="15" hidden="false" customHeight="true" outlineLevel="0" collapsed="false">
      <c r="A15" s="28" t="s">
        <v>488</v>
      </c>
      <c r="B15" s="28" t="n">
        <v>13</v>
      </c>
      <c r="C15" s="28" t="s">
        <v>230</v>
      </c>
      <c r="D15" s="28" t="s">
        <v>231</v>
      </c>
      <c r="E15" s="28" t="n">
        <v>26</v>
      </c>
      <c r="F15" s="28" t="n">
        <v>6</v>
      </c>
      <c r="G15" s="28" t="n">
        <v>18</v>
      </c>
      <c r="H15" s="28" t="n">
        <v>0.23</v>
      </c>
      <c r="I15" s="28" t="s">
        <v>501</v>
      </c>
    </row>
    <row r="16" customFormat="false" ht="15" hidden="false" customHeight="true" outlineLevel="0" collapsed="false">
      <c r="A16" s="28" t="s">
        <v>488</v>
      </c>
      <c r="B16" s="28" t="n">
        <v>14</v>
      </c>
      <c r="C16" s="28" t="s">
        <v>232</v>
      </c>
      <c r="D16" s="28" t="s">
        <v>233</v>
      </c>
      <c r="E16" s="28" t="n">
        <v>25</v>
      </c>
      <c r="F16" s="28" t="n">
        <v>13</v>
      </c>
      <c r="G16" s="28" t="n">
        <v>18</v>
      </c>
      <c r="H16" s="28" t="n">
        <v>0.52</v>
      </c>
      <c r="I16" s="28" t="s">
        <v>502</v>
      </c>
    </row>
    <row r="17" customFormat="false" ht="15" hidden="false" customHeight="true" outlineLevel="0" collapsed="false">
      <c r="A17" s="28" t="s">
        <v>488</v>
      </c>
      <c r="B17" s="28" t="n">
        <v>15</v>
      </c>
      <c r="C17" s="28" t="s">
        <v>222</v>
      </c>
      <c r="D17" s="28" t="s">
        <v>223</v>
      </c>
      <c r="E17" s="28" t="n">
        <v>39</v>
      </c>
      <c r="F17" s="28" t="n">
        <v>25</v>
      </c>
      <c r="G17" s="28" t="n">
        <v>13</v>
      </c>
      <c r="H17" s="28" t="n">
        <v>0.64</v>
      </c>
      <c r="I17" s="28" t="s">
        <v>503</v>
      </c>
    </row>
    <row r="18" customFormat="false" ht="15" hidden="false" customHeight="true" outlineLevel="0" collapsed="false">
      <c r="A18" s="28" t="s">
        <v>488</v>
      </c>
      <c r="B18" s="28" t="n">
        <v>16</v>
      </c>
      <c r="C18" s="28" t="s">
        <v>82</v>
      </c>
      <c r="D18" s="28" t="s">
        <v>83</v>
      </c>
      <c r="E18" s="28" t="n">
        <v>50</v>
      </c>
      <c r="F18" s="28" t="n">
        <v>34</v>
      </c>
      <c r="G18" s="28" t="n">
        <v>12</v>
      </c>
      <c r="H18" s="28" t="n">
        <v>0.68</v>
      </c>
    </row>
    <row r="19" customFormat="false" ht="15" hidden="false" customHeight="true" outlineLevel="0" collapsed="false">
      <c r="A19" s="28" t="s">
        <v>488</v>
      </c>
      <c r="B19" s="28" t="n">
        <v>17</v>
      </c>
      <c r="C19" s="28" t="s">
        <v>224</v>
      </c>
      <c r="D19" s="28" t="s">
        <v>225</v>
      </c>
      <c r="E19" s="28" t="n">
        <v>36</v>
      </c>
      <c r="F19" s="28" t="n">
        <v>25</v>
      </c>
      <c r="G19" s="28" t="n">
        <v>11</v>
      </c>
      <c r="H19" s="28" t="n">
        <v>0.69</v>
      </c>
    </row>
    <row r="20" customFormat="false" ht="15" hidden="false" customHeight="true" outlineLevel="0" collapsed="false">
      <c r="A20" s="28" t="s">
        <v>488</v>
      </c>
      <c r="B20" s="28" t="n">
        <v>18</v>
      </c>
      <c r="C20" s="28" t="s">
        <v>34</v>
      </c>
      <c r="D20" s="28" t="s">
        <v>35</v>
      </c>
      <c r="E20" s="28" t="n">
        <v>20</v>
      </c>
      <c r="F20" s="28" t="n">
        <v>13</v>
      </c>
      <c r="G20" s="28" t="n">
        <v>7</v>
      </c>
      <c r="H20" s="28" t="n">
        <v>0.65</v>
      </c>
      <c r="I20" s="28" t="s">
        <v>504</v>
      </c>
    </row>
    <row r="22" customFormat="false" ht="15" hidden="false" customHeight="true" outlineLevel="0" collapsed="false">
      <c r="A22" s="28" t="s">
        <v>505</v>
      </c>
      <c r="B22" s="28" t="n">
        <v>1</v>
      </c>
      <c r="C22" s="28" t="s">
        <v>382</v>
      </c>
      <c r="D22" s="28" t="s">
        <v>383</v>
      </c>
      <c r="E22" s="28" t="n">
        <v>1</v>
      </c>
      <c r="F22" s="28" t="n">
        <v>1</v>
      </c>
      <c r="G22" s="28" t="n">
        <v>0</v>
      </c>
      <c r="H22" s="28" t="n">
        <v>1</v>
      </c>
      <c r="I22" s="28" t="s">
        <v>506</v>
      </c>
    </row>
    <row r="23" customFormat="false" ht="15" hidden="false" customHeight="true" outlineLevel="0" collapsed="false">
      <c r="A23" s="28" t="s">
        <v>505</v>
      </c>
      <c r="B23" s="28" t="n">
        <v>2</v>
      </c>
      <c r="C23" s="28" t="s">
        <v>185</v>
      </c>
      <c r="D23" s="28" t="s">
        <v>186</v>
      </c>
      <c r="E23" s="28" t="n">
        <v>2</v>
      </c>
      <c r="F23" s="28" t="n">
        <v>1</v>
      </c>
      <c r="G23" s="28" t="n">
        <v>1</v>
      </c>
      <c r="H23" s="28" t="n">
        <v>0.5</v>
      </c>
      <c r="I23" s="28" t="s">
        <v>507</v>
      </c>
    </row>
    <row r="24" customFormat="false" ht="15" hidden="false" customHeight="true" outlineLevel="0" collapsed="false">
      <c r="A24" s="28" t="s">
        <v>505</v>
      </c>
      <c r="B24" s="28" t="n">
        <v>3</v>
      </c>
      <c r="C24" s="28" t="s">
        <v>350</v>
      </c>
      <c r="D24" s="28" t="s">
        <v>351</v>
      </c>
      <c r="E24" s="28" t="n">
        <v>2</v>
      </c>
      <c r="F24" s="28" t="n">
        <v>2</v>
      </c>
      <c r="G24" s="28" t="n">
        <v>0</v>
      </c>
      <c r="H24" s="28" t="n">
        <v>1</v>
      </c>
      <c r="I24" s="28" t="s">
        <v>508</v>
      </c>
    </row>
    <row r="25" customFormat="false" ht="15" hidden="false" customHeight="true" outlineLevel="0" collapsed="false">
      <c r="A25" s="28" t="s">
        <v>505</v>
      </c>
      <c r="B25" s="28" t="n">
        <v>4</v>
      </c>
      <c r="C25" s="28" t="s">
        <v>62</v>
      </c>
      <c r="D25" s="28" t="s">
        <v>63</v>
      </c>
      <c r="E25" s="28" t="n">
        <v>2</v>
      </c>
      <c r="F25" s="28" t="n">
        <v>2</v>
      </c>
      <c r="G25" s="28" t="n">
        <v>0</v>
      </c>
      <c r="H25" s="28" t="n">
        <v>1</v>
      </c>
      <c r="I25" s="28" t="s">
        <v>509</v>
      </c>
    </row>
    <row r="26" customFormat="false" ht="15" hidden="false" customHeight="true" outlineLevel="0" collapsed="false">
      <c r="A26" s="28" t="s">
        <v>505</v>
      </c>
      <c r="B26" s="28" t="n">
        <v>5</v>
      </c>
      <c r="C26" s="28" t="s">
        <v>316</v>
      </c>
      <c r="D26" s="28" t="s">
        <v>317</v>
      </c>
      <c r="E26" s="28" t="n">
        <v>3</v>
      </c>
      <c r="F26" s="28" t="n">
        <v>3</v>
      </c>
      <c r="G26" s="28" t="n">
        <v>0</v>
      </c>
      <c r="H26" s="28" t="n">
        <v>1</v>
      </c>
      <c r="I26" s="28" t="s">
        <v>510</v>
      </c>
    </row>
    <row r="27" customFormat="false" ht="15" hidden="false" customHeight="true" outlineLevel="0" collapsed="false">
      <c r="A27" s="28" t="s">
        <v>505</v>
      </c>
      <c r="B27" s="28" t="n">
        <v>6</v>
      </c>
      <c r="C27" s="28" t="s">
        <v>324</v>
      </c>
      <c r="D27" s="28" t="s">
        <v>325</v>
      </c>
      <c r="E27" s="28" t="n">
        <v>3</v>
      </c>
      <c r="F27" s="28" t="n">
        <v>5</v>
      </c>
      <c r="G27" s="28" t="n">
        <v>0</v>
      </c>
      <c r="H27" s="28" t="n">
        <v>1.67</v>
      </c>
      <c r="I27" s="28" t="s">
        <v>511</v>
      </c>
    </row>
    <row r="28" customFormat="false" ht="15" hidden="false" customHeight="true" outlineLevel="0" collapsed="false">
      <c r="A28" s="28" t="s">
        <v>505</v>
      </c>
      <c r="B28" s="28" t="n">
        <v>7</v>
      </c>
      <c r="C28" s="28" t="s">
        <v>171</v>
      </c>
      <c r="D28" s="28" t="s">
        <v>172</v>
      </c>
      <c r="E28" s="28" t="n">
        <v>3</v>
      </c>
      <c r="F28" s="28" t="n">
        <v>4</v>
      </c>
      <c r="G28" s="28" t="n">
        <v>1</v>
      </c>
      <c r="H28" s="28" t="n">
        <v>1.33</v>
      </c>
      <c r="I28" s="28" t="s">
        <v>512</v>
      </c>
    </row>
    <row r="29" customFormat="false" ht="15" hidden="false" customHeight="true" outlineLevel="0" collapsed="false">
      <c r="A29" s="28" t="s">
        <v>505</v>
      </c>
      <c r="B29" s="28" t="n">
        <v>8</v>
      </c>
      <c r="C29" s="28" t="s">
        <v>60</v>
      </c>
      <c r="D29" s="28" t="s">
        <v>61</v>
      </c>
      <c r="E29" s="28" t="n">
        <v>3</v>
      </c>
      <c r="F29" s="28" t="n">
        <v>1</v>
      </c>
      <c r="G29" s="28" t="n">
        <v>2</v>
      </c>
      <c r="H29" s="28" t="n">
        <v>0.33</v>
      </c>
      <c r="I29" s="28" t="s">
        <v>513</v>
      </c>
    </row>
    <row r="30" customFormat="false" ht="15" hidden="false" customHeight="true" outlineLevel="0" collapsed="false">
      <c r="A30" s="28" t="s">
        <v>505</v>
      </c>
      <c r="B30" s="28" t="n">
        <v>9</v>
      </c>
      <c r="C30" s="28" t="s">
        <v>173</v>
      </c>
      <c r="D30" s="28" t="s">
        <v>174</v>
      </c>
      <c r="E30" s="28" t="n">
        <v>3</v>
      </c>
      <c r="F30" s="28" t="n">
        <v>4</v>
      </c>
      <c r="G30" s="28" t="n">
        <v>1</v>
      </c>
      <c r="H30" s="28" t="n">
        <v>1.33</v>
      </c>
      <c r="I30" s="28" t="s">
        <v>514</v>
      </c>
    </row>
    <row r="31" customFormat="false" ht="15" hidden="false" customHeight="true" outlineLevel="0" collapsed="false">
      <c r="A31" s="28" t="s">
        <v>505</v>
      </c>
      <c r="B31" s="28" t="n">
        <v>10</v>
      </c>
      <c r="C31" s="28" t="s">
        <v>167</v>
      </c>
      <c r="D31" s="28" t="s">
        <v>168</v>
      </c>
      <c r="E31" s="28" t="n">
        <v>3</v>
      </c>
      <c r="F31" s="28" t="n">
        <v>6</v>
      </c>
      <c r="G31" s="28" t="n">
        <v>0</v>
      </c>
      <c r="H31" s="28" t="n">
        <v>2</v>
      </c>
      <c r="I31" s="28" t="s">
        <v>515</v>
      </c>
    </row>
    <row r="32" customFormat="false" ht="15" hidden="false" customHeight="true" outlineLevel="0" collapsed="false">
      <c r="A32" s="28" t="s">
        <v>505</v>
      </c>
      <c r="B32" s="28" t="n">
        <v>11</v>
      </c>
      <c r="C32" s="28" t="s">
        <v>334</v>
      </c>
      <c r="D32" s="28" t="s">
        <v>335</v>
      </c>
      <c r="E32" s="28" t="n">
        <v>3</v>
      </c>
      <c r="F32" s="28" t="n">
        <v>4</v>
      </c>
      <c r="G32" s="28" t="n">
        <v>0</v>
      </c>
      <c r="H32" s="28" t="n">
        <v>1.33</v>
      </c>
      <c r="I32" s="28" t="s">
        <v>516</v>
      </c>
    </row>
    <row r="33" customFormat="false" ht="15" hidden="false" customHeight="true" outlineLevel="0" collapsed="false">
      <c r="A33" s="28" t="s">
        <v>505</v>
      </c>
      <c r="B33" s="28" t="n">
        <v>12</v>
      </c>
      <c r="C33" s="28" t="s">
        <v>318</v>
      </c>
      <c r="D33" s="28" t="s">
        <v>319</v>
      </c>
      <c r="E33" s="28" t="n">
        <v>3</v>
      </c>
      <c r="F33" s="28" t="n">
        <v>4</v>
      </c>
      <c r="G33" s="28" t="n">
        <v>1</v>
      </c>
      <c r="H33" s="28" t="n">
        <v>1.33</v>
      </c>
      <c r="I33" s="28" t="s">
        <v>517</v>
      </c>
    </row>
    <row r="34" customFormat="false" ht="15" hidden="false" customHeight="true" outlineLevel="0" collapsed="false">
      <c r="A34" s="28" t="s">
        <v>505</v>
      </c>
      <c r="B34" s="28" t="n">
        <v>13</v>
      </c>
      <c r="C34" s="28" t="s">
        <v>336</v>
      </c>
      <c r="D34" s="28" t="s">
        <v>337</v>
      </c>
      <c r="E34" s="28" t="n">
        <v>3</v>
      </c>
      <c r="F34" s="28" t="n">
        <v>6</v>
      </c>
      <c r="G34" s="28" t="n">
        <v>1</v>
      </c>
      <c r="H34" s="28" t="n">
        <v>2</v>
      </c>
      <c r="I34" s="28" t="s">
        <v>518</v>
      </c>
    </row>
    <row r="35" customFormat="false" ht="15" hidden="false" customHeight="true" outlineLevel="0" collapsed="false">
      <c r="A35" s="28" t="s">
        <v>505</v>
      </c>
      <c r="B35" s="28" t="n">
        <v>14</v>
      </c>
      <c r="C35" s="28" t="s">
        <v>322</v>
      </c>
      <c r="D35" s="28" t="s">
        <v>323</v>
      </c>
      <c r="E35" s="28" t="n">
        <v>3</v>
      </c>
      <c r="F35" s="28" t="n">
        <v>6</v>
      </c>
      <c r="G35" s="28" t="n">
        <v>0</v>
      </c>
      <c r="H35" s="28" t="n">
        <v>2</v>
      </c>
      <c r="I35" s="28" t="s">
        <v>519</v>
      </c>
    </row>
    <row r="36" customFormat="false" ht="15" hidden="false" customHeight="true" outlineLevel="0" collapsed="false">
      <c r="A36" s="28" t="s">
        <v>505</v>
      </c>
      <c r="B36" s="28" t="n">
        <v>15</v>
      </c>
      <c r="C36" s="28" t="s">
        <v>328</v>
      </c>
      <c r="D36" s="28" t="s">
        <v>329</v>
      </c>
      <c r="E36" s="28" t="n">
        <v>3</v>
      </c>
      <c r="F36" s="28" t="n">
        <v>4</v>
      </c>
      <c r="G36" s="28" t="n">
        <v>1</v>
      </c>
      <c r="H36" s="28" t="n">
        <v>1.33</v>
      </c>
      <c r="I36" s="28" t="s">
        <v>520</v>
      </c>
    </row>
    <row r="37" customFormat="false" ht="15" hidden="false" customHeight="true" outlineLevel="0" collapsed="false">
      <c r="A37" s="28" t="s">
        <v>505</v>
      </c>
      <c r="B37" s="28" t="n">
        <v>16</v>
      </c>
      <c r="C37" s="28" t="s">
        <v>169</v>
      </c>
      <c r="D37" s="28" t="s">
        <v>170</v>
      </c>
      <c r="E37" s="28" t="n">
        <v>3</v>
      </c>
      <c r="F37" s="28" t="n">
        <v>6</v>
      </c>
      <c r="G37" s="28" t="n">
        <v>1</v>
      </c>
      <c r="H37" s="28" t="n">
        <v>2</v>
      </c>
      <c r="I37" s="28" t="s">
        <v>521</v>
      </c>
    </row>
    <row r="38" customFormat="false" ht="15" hidden="false" customHeight="true" outlineLevel="0" collapsed="false">
      <c r="A38" s="28" t="s">
        <v>505</v>
      </c>
      <c r="B38" s="28" t="n">
        <v>17</v>
      </c>
      <c r="C38" s="28" t="s">
        <v>157</v>
      </c>
      <c r="D38" s="28" t="s">
        <v>158</v>
      </c>
      <c r="E38" s="28" t="n">
        <v>4</v>
      </c>
      <c r="F38" s="28" t="n">
        <v>5</v>
      </c>
      <c r="G38" s="28" t="n">
        <v>0</v>
      </c>
      <c r="H38" s="28" t="n">
        <v>1.25</v>
      </c>
      <c r="I38" s="28" t="s">
        <v>522</v>
      </c>
    </row>
    <row r="39" customFormat="false" ht="15" hidden="false" customHeight="true" outlineLevel="0" collapsed="false">
      <c r="A39" s="28" t="s">
        <v>505</v>
      </c>
      <c r="B39" s="28" t="n">
        <v>18</v>
      </c>
      <c r="C39" s="28" t="s">
        <v>312</v>
      </c>
      <c r="D39" s="28" t="s">
        <v>313</v>
      </c>
      <c r="E39" s="28" t="n">
        <v>4</v>
      </c>
      <c r="F39" s="28" t="n">
        <v>5</v>
      </c>
      <c r="G39" s="28" t="n">
        <v>1</v>
      </c>
      <c r="H39" s="28" t="n">
        <v>1.25</v>
      </c>
      <c r="I39" s="28" t="s">
        <v>523</v>
      </c>
    </row>
    <row r="40" customFormat="false" ht="15" hidden="false" customHeight="true" outlineLevel="0" collapsed="false">
      <c r="A40" s="28" t="s">
        <v>505</v>
      </c>
      <c r="B40" s="28" t="n">
        <v>19</v>
      </c>
      <c r="C40" s="28" t="s">
        <v>58</v>
      </c>
      <c r="D40" s="28" t="s">
        <v>59</v>
      </c>
      <c r="E40" s="28" t="n">
        <v>4</v>
      </c>
      <c r="F40" s="28" t="n">
        <v>4</v>
      </c>
      <c r="G40" s="28" t="n">
        <v>2</v>
      </c>
      <c r="H40" s="28" t="n">
        <v>1</v>
      </c>
      <c r="I40" s="28" t="s">
        <v>524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2026-09-15T23:09:26Z</dcterms:created>
  <dc:creator>openpyxl</dc:creator>
  <dc:description/>
  <dc:language>en-US</dc:language>
  <cp:lastModifiedBy/>
  <dcterms:modified xsi:type="dcterms:W3CDTF">2026-09-15T23:11:14Z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