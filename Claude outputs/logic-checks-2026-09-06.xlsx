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out" sheetId="1" state="visible" r:id="rId3"/>
    <sheet name="By area" sheetId="2" state="visible" r:id="rId4"/>
    <sheet name="Logic checks" sheetId="3" state="visible" r:id="rId5"/>
  </sheets>
  <definedNames>
    <definedName function="false" hidden="true" localSheetId="2" name="_xlnm._FilterDatabase" vbProcedure="false">'Logic checks'!$A$1:$E$124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<sst xmlns="http://schemas.openxmlformats.org/spreadsheetml/2006/main" count="306" uniqueCount="182">
  <si>
    <t xml:space="preserve">What this is</t>
  </si>
  <si>
    <t xml:space="preserve">The standing logic tests in scripts/test-logic.ts — the "123/123 logic checks" line that npm run validate prints.</t>
  </si>
  <si>
    <t xml:space="preserve">They are pure-function tests: schedule maths, hierarchy, filter, selection, graph, search, forces. They import nothing from src/data, so no research slice can break them and they run instantly.</t>
  </si>
  <si>
    <t xml:space="preserve">Every assertion is there because that thing broke, or nearly broke, once. The "Nearby note" column is the comment sitting above it in the source, which usually names the bug.</t>
  </si>
  <si>
    <t xml:space="preserve">They do NOT check the corpus itself — evidence, direction, duplicate ids, containment edges and the rest are the separate data checks in scripts/validate-data.ts, which run in the same command.</t>
  </si>
  <si>
    <t xml:space="preserve">Source</t>
  </si>
  <si>
    <t xml:space="preserve">scripts/test-logic.ts, read 2026-09-06</t>
  </si>
  <si>
    <t xml:space="preserve">Run it</t>
  </si>
  <si>
    <t xml:space="preserve">npm run test (or npm run validate, which runs it plus the data checks)</t>
  </si>
  <si>
    <t xml:space="preserve">Area</t>
  </si>
  <si>
    <t xml:space="preserve">Checks</t>
  </si>
  <si>
    <t xml:space="preserve">What it guards</t>
  </si>
  <si>
    <t xml:space="preserve">Schedule / calendar</t>
  </si>
  <si>
    <t xml:space="preserve">Release-date maths: real dates only, cadence bands, fiscal-year labels, year boundaries, sub-annual and weekly rates</t>
  </si>
  <si>
    <t xml:space="preserve">Hierarchy &amp; drilldown</t>
  </si>
  <si>
    <t xml:space="preserve">The four tiers, orb ids, folding and unfolding countries and the international layer</t>
  </si>
  <si>
    <t xml:space="preserve">Filter &amp; validator</t>
  </si>
  <si>
    <t xml:space="preserve">Filter compilation and toggling, plus the corpus rules validate() enforces</t>
  </si>
  <si>
    <t xml:space="preserve">Selection, focus &amp; paths</t>
  </si>
  <si>
    <t xml:space="preserve">Click-to-trace, neighbourhood focus, group focus and shortest path between two reports</t>
  </si>
  <si>
    <t xml:space="preserve">Graph maths</t>
  </si>
  <si>
    <t xml:space="preserve">PageRank inputs, node radius, documented/official gating, rate wording</t>
  </si>
  <si>
    <t xml:space="preserve">Search ranking</t>
  </si>
  <si>
    <t xml:space="preserve">What "find anything" puts first</t>
  </si>
  <si>
    <t xml:space="preserve">Geo affinity</t>
  </si>
  <si>
    <t xml:space="preserve">The geographic pull score between two reports</t>
  </si>
  <si>
    <t xml:space="preserve">Galaxy force</t>
  </si>
  <si>
    <t xml:space="preserve">The per-cluster centroid force</t>
  </si>
  <si>
    <t xml:space="preserve">Total</t>
  </si>
  <si>
    <t xml:space="preserve">#</t>
  </si>
  <si>
    <t xml:space="preserve">Assertion (as it prints on failure)</t>
  </si>
  <si>
    <t xml:space="preserve">Line in test-logic.ts</t>
  </si>
  <si>
    <t xml:space="preserve">Nearby note in the source (may cover several checks)</t>
  </si>
  <si>
    <t xml:space="preserve">isRealDate: Feb 31 and month 13 rejected</t>
  </si>
  <si>
    <t xml:space="preserve">fractional spacing: reads are emitted at all</t>
  </si>
  <si>
    <t xml:space="preserve">The fractional-spacing bug, pinned forever: an anchored edge whose rate does not divide 12 (the Bank of Canada shape — 8 readings/year) must emit only real, well-formed dates. Before 2026-08-12 this produced "2026-11.5-30".</t>
  </si>
  <si>
    <t xml:space="preserve">fractional spacing: every emitted date is a real YYYY-MM-DD (the 2026-11.5-30 bug)</t>
  </si>
  <si>
    <t xml:space="preserve">integer spacing: quarterly anchor steps by exact months</t>
  </si>
  <si>
    <t xml:space="preserve">Integer spacing keeps exact month-stepped anchors (quarterly on the 15th).</t>
  </si>
  <si>
    <t xml:space="preserve">no anchor: counted unplaceable, nothing invented</t>
  </si>
  <si>
    <t xml:space="preserve">No anchor → unplaceable, never guessed.</t>
  </si>
  <si>
    <t xml:space="preserve">year boundary: a monthly anchor fills all 12 months of the window, not just the months after its own anchor date (got …)</t>
  </si>
  <si>
    <t xml:space="preserve">The year-boundary bug, pinned 2026-08-21 (review §2): a monthly edge anchored 10-31 must fill EVERY month of a full-year window, including Jan-Sep — which come from the PREVIOUS year's own anchor series stepping forward across the boundary. Before the startYear-1 fix this produced only 3 reads (Oct/Nov/Dec) instead of 12.</t>
  </si>
  <si>
    <t xml:space="preserve">year boundary: January is covered by the PREVIOUS year's anchor series, not invented, not dropped</t>
  </si>
  <si>
    <t xml:space="preserve">year boundary: September (the last month before the anchor's own month) is covered</t>
  </si>
  <si>
    <t xml:space="preserve">sub-annual: a biennial reading emits no read (no year to phase it against)</t>
  </si>
  <si>
    <t xml:space="preserve">Sub-annual rates (&lt; 1/year) — pinned 2026-08-21 (review §2): no year to phase a biennial/decennial cycle against, so nothing is invented; the edge is counted as unplaceable instead of emitting a wrong-cadence annual read.</t>
  </si>
  <si>
    <t xml:space="preserve">sub-annual: counted as unplaceable instead of silently dropped or wrongly annual</t>
  </si>
  <si>
    <t xml:space="preserve">rate &gt; 12/yr: a weekly anchor produces roughly 52 reads across the year, not one (got …)</t>
  </si>
  <si>
    <t xml:space="preserve">Rates above 12/year — pinned 2026-08-21 (review §2): used to collapse to exactly one read regardless of rate ("52/yr" and "13/yr" both showed one dot). The same day-step formula the fractional-spacing fix already proved out generalises to this case with no special-casing needed.</t>
  </si>
  <si>
    <t xml:space="preserve">rate &gt; 12/yr: every emitted date is still a real YYYY-MM-DD</t>
  </si>
  <si>
    <t xml:space="preserve">describeWindow: fiscal year straddling December is not called "2026"</t>
  </si>
  <si>
    <t xml:space="preserve">describeWindow: quarter names the quarter</t>
  </si>
  <si>
    <t xml:space="preserve">cadenceBand: evergreen→year, BoC 8/yr→quarter, weekly→week</t>
  </si>
  <si>
    <t xml:space="preserve">horizonWindow: a week is seven days</t>
  </si>
  <si>
    <t xml:space="preserve">nextRelease: first entry not yet finished wins</t>
  </si>
  <si>
    <t xml:space="preserve">tierOf: the four rungs</t>
  </si>
  <si>
    <t xml:space="preserve">toggleDrilldown: a family orb opens a tier, caps at the deepest</t>
  </si>
  <si>
    <t xml:space="preserve">toggleDrilldown: a real node folds NOTHING (the deleted-every-national-report bug)</t>
  </si>
  <si>
    <t xml:space="preserve">toggleDrilldown: a country orb does NOT also advance the tier — opening one country must not dump every OTHER country's next tier onto the screen</t>
  </si>
  <si>
    <t xml:space="preserve">orb ids namespaced</t>
  </si>
  <si>
    <t xml:space="preserve">family and country orb ids are namespaced apart, not just both "an orb"</t>
  </si>
  <si>
    <t xml:space="preserve">countryOrbId / countryFromOrbId round-trip</t>
  </si>
  <si>
    <t xml:space="preserve">toggleCountryOpen: opens the clicked country</t>
  </si>
  <si>
    <t xml:space="preserve">toggleCountryOpen: a real node id is a no-op (same reference back)</t>
  </si>
  <si>
    <t xml:space="preserve">toggleCountryOpen: a family orb id is a no-op too</t>
  </si>
  <si>
    <t xml:space="preserve">disclosed@1: everything folded into two family orbs</t>
  </si>
  <si>
    <t xml:space="preserve">Two families, two tiers; an edge inside a family must vanish (self-loop), one across families must survive remapped to the orbs.</t>
  </si>
  <si>
    <t xml:space="preserve">disclosed@1: within-family edge dropped as self-loop, cross-family edge remapped</t>
  </si>
  <si>
    <t xml:space="preserve">resolveId: tier not open at all still folds to the family orb, same as before the country fold existed</t>
  </si>
  <si>
    <t xml:space="preserve">disclosed@2, nobody opened: ca-mun still folds to its family orb (its own tier is not open yet); ca-fed and us-fed each fold to their own country orb (open tier, country not expanded)</t>
  </si>
  <si>
    <t xml:space="preserve">Tier 2 open, nobody expanded yet: this is the 2026-08-20 fix itself. Before it, every report at an open tier showed as itself — fine at a couple dozen countries, but 139 countries turned that into the "95% of nodes crowded in there" complaint. Now an open-but-unexpanded tier folds by country instead of showing real nodes.</t>
  </si>
  <si>
    <t xml:space="preserve">resolveId: tier open but country not expanded folds to the COUNTRY orb, not the real id</t>
  </si>
  <si>
    <t xml:space="preserve">disclosed@2, CA opened: ca-fed is real; us-fed stays folded because opening one country must not open any other</t>
  </si>
  <si>
    <t xml:space="preserve">Opening CA reveals just ca-fed — us-fed, still unopened, stays folded. This is the per-branch behaviour Thomas explicitly declined on 2026-08-12 for FAMILIES and just as explicitly asked for, for COUNTRIES, on 2026-08-20 once the corpus made a single global "Nations" rung unnavigable.</t>
  </si>
  <si>
    <t xml:space="preserve">resolveId: tier open AND country opened resolves to the real id</t>
  </si>
  <si>
    <t xml:space="preserve">disclosed@4, every country opened: everything real again</t>
  </si>
  <si>
    <t xml:space="preserve">The old "open the deepest tier and get every real report back" guarantee still holds — it just now also requires every country to be opened, which is the whole point.</t>
  </si>
  <si>
    <t xml:space="preserve">default drilldown is the top tier</t>
  </si>
  <si>
    <t xml:space="preserve">isFiltering: null means everything, [] means the user turned it all off</t>
  </si>
  <si>
    <t xml:space="preserve">isolate-first: from all-on, one click isolates ("the one I want isolated I click and it happens")</t>
  </si>
  <si>
    <t xml:space="preserve">Thomas's isolate-first click model, pinned exactly as he described it.</t>
  </si>
  <si>
    <t xml:space="preserve">isolate-first: second click builds the combo</t>
  </si>
  <si>
    <t xml:space="preserve">isolate-first: clicking a selected unit removes it</t>
  </si>
  <si>
    <t xml:space="preserve">isolate-first: switching the last one off returns to all, not to nothing</t>
  </si>
  <si>
    <t xml:space="preserve">isolate-first: completing the set collapses to null so isFiltering stays honest</t>
  </si>
  <si>
    <t xml:space="preserve">isolate-first: isolating everything is not a filter</t>
  </si>
  <si>
    <t xml:space="preserve">applyFilter: hiding a node takes its edges with it</t>
  </si>
  <si>
    <t xml:space="preserve">domain filter: ANY-match on the carried tags</t>
  </si>
  <si>
    <t xml:space="preserve">validate: an implied dependency is an error, pointing at the retirement</t>
  </si>
  <si>
    <t xml:space="preserve">The implied-edge layer is retired (2026-08-12): the validator must refuse any dependency that tries to carry it back in.</t>
  </si>
  <si>
    <t xml:space="preserve">validate: a documented dependency with no evidence_url warns</t>
  </si>
  <si>
    <t xml:space="preserve">The evidence standard, checked in code since 2026-08-31 (audit finding D2): a documented dependency with no evidence_url, or one whose evidence is a bare homepage, warns. Warnings until the corpus is clean — these three assertions are what to flip to 'error' at promotion time.</t>
  </si>
  <si>
    <t xml:space="preserve">validate: a bare-homepage evidence_url warns</t>
  </si>
  <si>
    <t xml:space="preserve">validate: a document URL raises neither evidence warning</t>
  </si>
  <si>
    <t xml:space="preserve">validate: a report id starting with "orb:" is an error</t>
  </si>
  <si>
    <t xml:space="preserve">Reserved id prefixes/separator — the renderer mints orb:/corb: ids and uses -&gt; as the edgeKey separator; a research file must never collide.</t>
  </si>
  <si>
    <t xml:space="preserve">validate: a report id starting with "corb:" is an error</t>
  </si>
  <si>
    <t xml:space="preserve">validate: a report id containing "-&gt;" is an error</t>
  </si>
  <si>
    <t xml:space="preserve">validate: a normal id merely containing the LETTERS "orb" is not flagged (prefix-only match)</t>
  </si>
  <si>
    <t xml:space="preserve">validate: an unknown country still fails the existing COUNTRY_FAMILY check first</t>
  </si>
  <si>
    <t xml:space="preserve">COUNTRY_LABEL coverage — mirrors the COUNTRY_FAMILY check, since COUNTRY_GROUPS (the Countries directory) is derived from COUNTRY_LABEL's keys, not COUNTRY_FAMILY's. A known family with no label must error.</t>
  </si>
  <si>
    <t xml:space="preserve">validate: a country with both a family and a label passes clean</t>
  </si>
  <si>
    <t xml:space="preserve">validate: an edge with no strength field is fine (default applies downstream)</t>
  </si>
  <si>
    <t xml:space="preserve">strength range — present-and-bad is an error, absent is fine (the overwhelmingly common shape: RELATIONSHIP_WEIGHT supplies the default).</t>
  </si>
  <si>
    <t xml:space="preserve">validate: strength: 0 is an error (0/0 in PageRank is the exact NaN door the review found)</t>
  </si>
  <si>
    <t xml:space="preserve">validate: negative strength is an error</t>
  </si>
  <si>
    <t xml:space="preserve">validate: NaN strength is an error</t>
  </si>
  <si>
    <t xml:space="preserve">validate: a positive finite strength passes clean</t>
  </si>
  <si>
    <t xml:space="preserve">validate: continuous: true with no releases_per_year is an error</t>
  </si>
  <si>
    <t xml:space="preserve">`continuous` validator rule, 2026-08-21 (todo item 4, the pulse/beam round): a continuous source needs SOME nominal releases_per_year, or it falls into isStandingInstrument's "one-off, draw hollow" case instead — the two claims are opposites and must never collide.</t>
  </si>
  <si>
    <t xml:space="preserve">validate: continuous: true with a nominal releases_per_year passes clean</t>
  </si>
  <si>
    <t xml:space="preserve">validate: an ordinary recurring report (continuous absent) is unaffected</t>
  </si>
  <si>
    <t xml:space="preserve">computeFocus: transitive in both directions, cycle does not hang</t>
  </si>
  <si>
    <t xml:space="preserve">a -&gt; b -&gt; c chain plus a cycle c -&gt; a: both cones, cycle-safe.</t>
  </si>
  <si>
    <t xml:space="preserve">computeFocus: both cones off leaves the selection alone in the light</t>
  </si>
  <si>
    <t xml:space="preserve">applyFilter: a family-scoped filter drops the cross-border report, as filters should</t>
  </si>
  <si>
    <t xml:space="preserve">A scope filter isolated to IL's family drops the cross-border edge — correct FILTER behaviour, and the reason isolateFocus can't just reuse it.</t>
  </si>
  <si>
    <t xml:space="preserve">isolateFocus model: walking the UNFILTERED index reaches the cross-border report the scope filter would have dropped</t>
  </si>
  <si>
    <t xml:space="preserve">isolateFocus's own approach — unfiltered index — keeps it.</t>
  </si>
  <si>
    <t xml:space="preserve">computeGroupFocus: both seeds present even with no edges walked to reach them</t>
  </si>
  <si>
    <t xml:space="preserve">computeGroupFocus: the multi-seed generalisation regions.ts's group isolate is built on (2026-08-20, Thomas: "north america, south america, asia, europe, middle east... IMF, eu, brics"). Three reports: two in the "group" (a synthetic bloc), citing each other, plus one outside the group that one of them also cites.</t>
  </si>
  <si>
    <t xml:space="preserve">computeGroupFocus: the edge BETWEEN two seeds is collected — not just edges leaving the group</t>
  </si>
  <si>
    <t xml:space="preserve">computeGroupFocus: still walks OUT of the group to whatever it actually connects to, same as single-node isolate</t>
  </si>
  <si>
    <t xml:space="preserve">computeGroupFocus: both cones off leaves exactly the seed set, no walking</t>
  </si>
  <si>
    <t xml:space="preserve">computeNeighbourhoodFocus: hops=2 includes the selection plus 1 and 2 hops out</t>
  </si>
  <si>
    <t xml:space="preserve">computeNeighbourhoodFocus: hops=2 excludes 3 and 4 hops out</t>
  </si>
  <si>
    <t xml:space="preserve">computeNeighbourhoodFocus: both edges inside the 2-hop chain are collected</t>
  </si>
  <si>
    <t xml:space="preserve">computeNeighbourhoodFocus: the edge just past the boundary is not collected — c is never expanded</t>
  </si>
  <si>
    <t xml:space="preserve">computeNeighbourhoodFocus: hops=0 is "just the selection", same as both cones off on computeFocus</t>
  </si>
  <si>
    <t xml:space="preserve">computeNeighbourhoodFocus: a hop limit past the graph's actual depth matches the unbounded walk exactly</t>
  </si>
  <si>
    <t xml:space="preserve">Compare: what both rest on is exactly {shared, base}, not the union and not either one-sided ancestor</t>
  </si>
  <si>
    <t xml:space="preserve">Compare: each side's own-only ancestor is excluded from the intersection</t>
  </si>
  <si>
    <t xml:space="preserve">Compare: what both feed into is exactly {commonDependent}, mirroring the same intersection downstream</t>
  </si>
  <si>
    <t xml:space="preserve">Compare: a dependent of only one side is excluded from the feeds-into intersection</t>
  </si>
  <si>
    <t xml:space="preserve">shortestPath: two siblings connect in exactly 2 hops (up then down), not "no path"</t>
  </si>
  <si>
    <t xml:space="preserve">shortestPath: first step is the start, with no relation (nothing precedes it)</t>
  </si>
  <si>
    <t xml:space="preserve">shortestPath: step 1 is reached by walking UP (sib1 rests on upstream)</t>
  </si>
  <si>
    <t xml:space="preserve">shortestPath: step 2 is reached by walking back DOWN (upstream feeds into sib2)</t>
  </si>
  <si>
    <t xml:space="preserve">shortestPath: the same id twice is a length-1 path, not a search</t>
  </si>
  <si>
    <t xml:space="preserve">shortestPath: two reports with no connecting chain return null, not an empty array</t>
  </si>
  <si>
    <t xml:space="preserve">continentOf: every known country maps to a real continent, not the INT fallback (missing: …)</t>
  </si>
  <si>
    <t xml:space="preserve">regions.ts: every country CONTINENT_OF has an opinion on for continent grouping should agree with COUNTRY_FAMILY on which codes are known countries at all — the two tables are maintained separately (continents are new; families predate this session) and must not silently drift apart.</t>
  </si>
  <si>
    <t xml:space="preserve">matchesRegionGroup: continent kind matches by continentOf(country)</t>
  </si>
  <si>
    <t xml:space="preserve">matchesRegionGroup — one representative of each kind, structural only (no src/data import — this file stays a pure-logic suite by rule).</t>
  </si>
  <si>
    <t xml:space="preserve">matchesRegionGroup: a country ORB matches by its own .country field, same as a real report</t>
  </si>
  <si>
    <t xml:space="preserve">matchesRegionGroup: bloc kind reads straight off COUNTRY_BLOCS, no duplicated membership list</t>
  </si>
  <si>
    <t xml:space="preserve">matchesRegionGroup: publisher kind matches a real report by publisher substring</t>
  </si>
  <si>
    <t xml:space="preserve">matchesRegionGroup: publisher kind does not match an unrelated publisher</t>
  </si>
  <si>
    <t xml:space="preserve">matchesRegionGroup: publisher kind reaches INTO a folded orb’s .members — an orb with one IMF report inside still counts, even though the orb’s own synthetic .publisher string does not</t>
  </si>
  <si>
    <t xml:space="preserve">matchesRegionGroup: country kind matches both a real report and its folded orb</t>
  </si>
  <si>
    <t xml:space="preserve">reportIdsForGroup: seed set is exactly the matching node ids</t>
  </si>
  <si>
    <t xml:space="preserve">matchesRegionGroup: country kind finds a country FOLDED INSIDE a family orb whose modal country differs (the 2026-08-21 black-scene bug)</t>
  </si>
  <si>
    <t xml:space="preserve">matchesRegionGroup: country kind still rejects an orb containing no member of that country</t>
  </si>
  <si>
    <t xml:space="preserve">matchesRegionGroup: bloc kind sees a BRICS member folded inside an orb whose MODE is a non-BRICS country — the mode no longer decides for the whole orb</t>
  </si>
  <si>
    <t xml:space="preserve">matchesRegionGroup: continent kind matches an orb through EVERY member country, not just the mode</t>
  </si>
  <si>
    <t xml:space="preserve">matchesRegionGroup: a real report with no members is unaffected by the members-aware check</t>
  </si>
  <si>
    <t xml:space="preserve">A real report (no members) still stands only for its own country.</t>
  </si>
  <si>
    <t xml:space="preserve">describeRate: extremes phrased as facts</t>
  </si>
  <si>
    <t xml:space="preserve">radiusFor: the documented 3.4–8 range</t>
  </si>
  <si>
    <t xml:space="preserve">isOfficial: absent means official</t>
  </si>
  <si>
    <t xml:space="preserve">isDocumented: absent means documented</t>
  </si>
  <si>
    <t xml:space="preserve">buildGraph: commercial nodes outside the ranking, by subtraction</t>
  </si>
  <si>
    <t xml:space="preserve">The sink-exclusion property, in miniature: a commercial node's presence must not move an official score.</t>
  </si>
  <si>
    <t xml:space="preserve">buildGraph: …but their in_degree still counts, because it is a raw fact</t>
  </si>
  <si>
    <t xml:space="preserve">search: id acronym found at full weight</t>
  </si>
  <si>
    <t xml:space="preserve">search: mid-word match still matches (corporate contains rate)</t>
  </si>
  <si>
    <t xml:space="preserve">search: every token must match — adding a word narrows</t>
  </si>
  <si>
    <t xml:space="preserve">search: respects the filter predicate</t>
  </si>
  <si>
    <t xml:space="preserve">search: accent-folded "cote" finds "Côte d'Ivoire"</t>
  </si>
  <si>
    <t xml:space="preserve">Accent-folding and script-aware normalisation, 2026-08-21 (review §3.5(a)): "Côte d'Ivoire" findable by "cote", "Türkiye" by "turkiye", and — the actual fix, since NFD alone does not cover this — a Cyrillic title findable by its own Cyrillic text instead of being blanked out as "punctuation".</t>
  </si>
  <si>
    <t xml:space="preserve">search: accent-folded "turkiye" finds "Türkiye"</t>
  </si>
  <si>
    <t xml:space="preserve">search: Cyrillic query finds a Cyrillic title (was blanked to punctuation before)</t>
  </si>
  <si>
    <t xml:space="preserve">search: Cyrillic is script-preserved, not transliterated — a Latin spelling does not match it</t>
  </si>
  <si>
    <t xml:space="preserve">affinityScore: shared blocs attract, symmetric</t>
  </si>
  <si>
    <t xml:space="preserve">affinityScore: the one documented conflict pair repels</t>
  </si>
  <si>
    <t xml:space="preserve">affinityScore: stateless and self are zero</t>
  </si>
  <si>
    <t xml:space="preserve">galaxyForce: no NaN after repeated ticks</t>
  </si>
  <si>
    <t xml:space="preserve">galaxyForce: two different countries sharing SA's family end up nearer each other, not just tighter within themselves</t>
  </si>
  <si>
    <t xml:space="preserve">galaxyForce: the two BR nodes tighten toward their own country centroid</t>
  </si>
  <si>
    <t xml:space="preserve">galaxyForce: strength 0 adds no velocity at all</t>
  </si>
  <si>
    <t xml:space="preserve">galaxyForce: a pinned node (fx set) is never nudged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</si>
</sst>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  <c r="B2" s="3" t="s">
        <v>1</v>
      </c>
    </row>
    <row r="3" customFormat="false" ht="23.85" hidden="false" customHeight="false" outlineLevel="0" collapsed="false">
      <c r="A3" s="2"/>
      <c r="B3" s="3" t="s">
        <v>2</v>
      </c>
    </row>
    <row r="4" customFormat="false" ht="23.85" hidden="false" customHeight="false" outlineLevel="0" collapsed="false">
      <c r="A4" s="2"/>
      <c r="B4" s="3" t="s">
        <v>3</v>
      </c>
    </row>
    <row r="5" customFormat="false" ht="23.85" hidden="false" customHeight="false" outlineLevel="0" collapsed="false">
      <c r="A5" s="2"/>
      <c r="B5" s="3" t="s">
        <v>4</v>
      </c>
    </row>
    <row r="6" customFormat="false" ht="15" hidden="false" customHeight="false" outlineLevel="0" collapsed="false">
      <c r="A6" s="2" t="s">
        <v>5</v>
      </c>
      <c r="B6" s="3" t="s">
        <v>6</v>
      </c>
    </row>
    <row r="7" customFormat="false" ht="15" hidden="false" customHeight="false" outlineLevel="0" collapsed="false">
      <c r="A7" s="2" t="s">
        <v>7</v>
      </c>
      <c r="B7" s="3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86"/>
  </cols>
  <sheetData>
    <row r="1" customFormat="false" ht="15" hidden="false" customHeight="false" outlineLevel="0" collapsed="false">
      <c r="A1" s="4" t="s">
        <v>9</v>
      </c>
      <c r="B1" s="4" t="s">
        <v>10</v>
      </c>
      <c r="C1" s="4" t="s">
        <v>11</v>
      </c>
    </row>
    <row r="2" customFormat="false" ht="23.85" hidden="false" customHeight="false" outlineLevel="0" collapsed="false">
      <c r="A2" s="5" t="s">
        <v>12</v>
      </c>
      <c r="B2" s="6" t="n">
        <f aca="false">COUNTIF('Logic checks'!$B$2:$B$124,A2)</f>
        <v>17</v>
      </c>
      <c r="C2" s="7" t="s">
        <v>13</v>
      </c>
    </row>
    <row r="3" customFormat="false" ht="15" hidden="false" customHeight="false" outlineLevel="0" collapsed="false">
      <c r="A3" s="5" t="s">
        <v>14</v>
      </c>
      <c r="B3" s="6" t="n">
        <f aca="false">COUNTIF('Logic checks'!$B$2:$B$124,A3)</f>
        <v>19</v>
      </c>
      <c r="C3" s="7" t="s">
        <v>15</v>
      </c>
    </row>
    <row r="4" customFormat="false" ht="15" hidden="false" customHeight="false" outlineLevel="0" collapsed="false">
      <c r="A4" s="5" t="s">
        <v>16</v>
      </c>
      <c r="B4" s="6" t="n">
        <f aca="false">COUNTIF('Logic checks'!$B$2:$B$124,A4)</f>
        <v>27</v>
      </c>
      <c r="C4" s="7" t="s">
        <v>17</v>
      </c>
    </row>
    <row r="5" customFormat="false" ht="15" hidden="false" customHeight="false" outlineLevel="0" collapsed="false">
      <c r="A5" s="5" t="s">
        <v>18</v>
      </c>
      <c r="B5" s="6" t="n">
        <f aca="false">COUNTIF('Logic checks'!$B$2:$B$124,A5)</f>
        <v>38</v>
      </c>
      <c r="C5" s="7" t="s">
        <v>19</v>
      </c>
    </row>
    <row r="6" customFormat="false" ht="15" hidden="false" customHeight="false" outlineLevel="0" collapsed="false">
      <c r="A6" s="5" t="s">
        <v>20</v>
      </c>
      <c r="B6" s="6" t="n">
        <f aca="false">COUNTIF('Logic checks'!$B$2:$B$124,A6)</f>
        <v>6</v>
      </c>
      <c r="C6" s="7" t="s">
        <v>21</v>
      </c>
    </row>
    <row r="7" customFormat="false" ht="15" hidden="false" customHeight="false" outlineLevel="0" collapsed="false">
      <c r="A7" s="5" t="s">
        <v>22</v>
      </c>
      <c r="B7" s="6" t="n">
        <f aca="false">COUNTIF('Logic checks'!$B$2:$B$124,A7)</f>
        <v>8</v>
      </c>
      <c r="C7" s="7" t="s">
        <v>23</v>
      </c>
    </row>
    <row r="8" customFormat="false" ht="15" hidden="false" customHeight="false" outlineLevel="0" collapsed="false">
      <c r="A8" s="5" t="s">
        <v>24</v>
      </c>
      <c r="B8" s="6" t="n">
        <f aca="false">COUNTIF('Logic checks'!$B$2:$B$124,A8)</f>
        <v>3</v>
      </c>
      <c r="C8" s="7" t="s">
        <v>25</v>
      </c>
    </row>
    <row r="9" customFormat="false" ht="15" hidden="false" customHeight="false" outlineLevel="0" collapsed="false">
      <c r="A9" s="5" t="s">
        <v>26</v>
      </c>
      <c r="B9" s="6" t="n">
        <f aca="false">COUNTIF('Logic checks'!$B$2:$B$124,A9)</f>
        <v>5</v>
      </c>
      <c r="C9" s="7" t="s">
        <v>27</v>
      </c>
    </row>
    <row r="10" customFormat="false" ht="15" hidden="false" customHeight="false" outlineLevel="0" collapsed="false">
      <c r="A10" s="8" t="s">
        <v>28</v>
      </c>
      <c r="B10" s="9" t="n">
        <f aca="false">SUM(B2:B9)</f>
        <v>123</v>
      </c>
      <c r="C10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72"/>
    <col collapsed="false" customWidth="true" hidden="false" outlineLevel="0" max="4" min="4" style="0" width="10"/>
    <col collapsed="false" customWidth="true" hidden="false" outlineLevel="0" max="5" min="5" style="0" width="80"/>
  </cols>
  <sheetData>
    <row r="1" customFormat="false" ht="31.5" hidden="false" customHeight="true" outlineLevel="0" collapsed="false">
      <c r="A1" s="4" t="s">
        <v>29</v>
      </c>
      <c r="B1" s="4" t="s">
        <v>9</v>
      </c>
      <c r="C1" s="4" t="s">
        <v>30</v>
      </c>
      <c r="D1" s="4" t="s">
        <v>31</v>
      </c>
      <c r="E1" s="4" t="s">
        <v>32</v>
      </c>
    </row>
    <row r="2" customFormat="false" ht="15" hidden="false" customHeight="false" outlineLevel="0" collapsed="false">
      <c r="A2" s="6" t="n">
        <v>1</v>
      </c>
      <c r="B2" s="5" t="s">
        <v>12</v>
      </c>
      <c r="C2" s="7" t="s">
        <v>33</v>
      </c>
      <c r="D2" s="6" t="n">
        <v>38</v>
      </c>
      <c r="E2" s="7"/>
    </row>
    <row r="3" customFormat="false" ht="35.05" hidden="false" customHeight="false" outlineLevel="0" collapsed="false">
      <c r="A3" s="6" t="n">
        <v>2</v>
      </c>
      <c r="B3" s="5" t="s">
        <v>12</v>
      </c>
      <c r="C3" s="7" t="s">
        <v>34</v>
      </c>
      <c r="D3" s="6" t="n">
        <v>54</v>
      </c>
      <c r="E3" s="7" t="s">
        <v>35</v>
      </c>
    </row>
    <row r="4" customFormat="false" ht="15" hidden="false" customHeight="false" outlineLevel="0" collapsed="false">
      <c r="A4" s="6" t="n">
        <v>3</v>
      </c>
      <c r="B4" s="5" t="s">
        <v>12</v>
      </c>
      <c r="C4" s="7" t="s">
        <v>36</v>
      </c>
      <c r="D4" s="6" t="n">
        <v>55</v>
      </c>
      <c r="E4" s="7"/>
    </row>
    <row r="5" customFormat="false" ht="15" hidden="false" customHeight="false" outlineLevel="0" collapsed="false">
      <c r="A5" s="6" t="n">
        <v>4</v>
      </c>
      <c r="B5" s="5" t="s">
        <v>12</v>
      </c>
      <c r="C5" s="7" t="s">
        <v>37</v>
      </c>
      <c r="D5" s="6" t="n">
        <v>62</v>
      </c>
      <c r="E5" s="7" t="s">
        <v>38</v>
      </c>
    </row>
    <row r="6" customFormat="false" ht="15" hidden="false" customHeight="false" outlineLevel="0" collapsed="false">
      <c r="A6" s="6" t="n">
        <v>5</v>
      </c>
      <c r="B6" s="5" t="s">
        <v>12</v>
      </c>
      <c r="C6" s="7" t="s">
        <v>39</v>
      </c>
      <c r="D6" s="6" t="n">
        <v>65</v>
      </c>
      <c r="E6" s="7" t="s">
        <v>40</v>
      </c>
    </row>
    <row r="7" customFormat="false" ht="46.25" hidden="false" customHeight="false" outlineLevel="0" collapsed="false">
      <c r="A7" s="6" t="n">
        <v>6</v>
      </c>
      <c r="B7" s="5" t="s">
        <v>12</v>
      </c>
      <c r="C7" s="7" t="s">
        <v>41</v>
      </c>
      <c r="D7" s="6" t="n">
        <v>77</v>
      </c>
      <c r="E7" s="7" t="s">
        <v>42</v>
      </c>
    </row>
    <row r="8" customFormat="false" ht="23.85" hidden="false" customHeight="false" outlineLevel="0" collapsed="false">
      <c r="A8" s="6" t="n">
        <v>7</v>
      </c>
      <c r="B8" s="5" t="s">
        <v>12</v>
      </c>
      <c r="C8" s="7" t="s">
        <v>43</v>
      </c>
      <c r="D8" s="6" t="n">
        <v>78</v>
      </c>
      <c r="E8" s="7"/>
    </row>
    <row r="9" customFormat="false" ht="15" hidden="false" customHeight="false" outlineLevel="0" collapsed="false">
      <c r="A9" s="6" t="n">
        <v>8</v>
      </c>
      <c r="B9" s="5" t="s">
        <v>12</v>
      </c>
      <c r="C9" s="7" t="s">
        <v>44</v>
      </c>
      <c r="D9" s="6" t="n">
        <v>79</v>
      </c>
      <c r="E9" s="7"/>
    </row>
    <row r="10" customFormat="false" ht="35.05" hidden="false" customHeight="false" outlineLevel="0" collapsed="false">
      <c r="A10" s="6" t="n">
        <v>9</v>
      </c>
      <c r="B10" s="5" t="s">
        <v>12</v>
      </c>
      <c r="C10" s="7" t="s">
        <v>45</v>
      </c>
      <c r="D10" s="6" t="n">
        <v>90</v>
      </c>
      <c r="E10" s="7" t="s">
        <v>46</v>
      </c>
    </row>
    <row r="11" customFormat="false" ht="15" hidden="false" customHeight="false" outlineLevel="0" collapsed="false">
      <c r="A11" s="6" t="n">
        <v>10</v>
      </c>
      <c r="B11" s="5" t="s">
        <v>12</v>
      </c>
      <c r="C11" s="7" t="s">
        <v>47</v>
      </c>
      <c r="D11" s="6" t="n">
        <v>91</v>
      </c>
      <c r="E11" s="7"/>
    </row>
    <row r="12" customFormat="false" ht="35.05" hidden="false" customHeight="false" outlineLevel="0" collapsed="false">
      <c r="A12" s="6" t="n">
        <v>11</v>
      </c>
      <c r="B12" s="5" t="s">
        <v>12</v>
      </c>
      <c r="C12" s="7" t="s">
        <v>48</v>
      </c>
      <c r="D12" s="6" t="n">
        <v>102</v>
      </c>
      <c r="E12" s="7" t="s">
        <v>49</v>
      </c>
    </row>
    <row r="13" customFormat="false" ht="15" hidden="false" customHeight="false" outlineLevel="0" collapsed="false">
      <c r="A13" s="6" t="n">
        <v>12</v>
      </c>
      <c r="B13" s="5" t="s">
        <v>12</v>
      </c>
      <c r="C13" s="7" t="s">
        <v>50</v>
      </c>
      <c r="D13" s="6" t="n">
        <v>103</v>
      </c>
      <c r="E13" s="7"/>
    </row>
    <row r="14" customFormat="false" ht="15" hidden="false" customHeight="false" outlineLevel="0" collapsed="false">
      <c r="A14" s="6" t="n">
        <v>13</v>
      </c>
      <c r="B14" s="5" t="s">
        <v>12</v>
      </c>
      <c r="C14" s="7" t="s">
        <v>51</v>
      </c>
      <c r="D14" s="6" t="n">
        <v>105</v>
      </c>
      <c r="E14" s="7"/>
    </row>
    <row r="15" customFormat="false" ht="15" hidden="false" customHeight="false" outlineLevel="0" collapsed="false">
      <c r="A15" s="6" t="n">
        <v>14</v>
      </c>
      <c r="B15" s="5" t="s">
        <v>12</v>
      </c>
      <c r="C15" s="7" t="s">
        <v>52</v>
      </c>
      <c r="D15" s="6" t="n">
        <v>106</v>
      </c>
      <c r="E15" s="7"/>
    </row>
    <row r="16" customFormat="false" ht="15" hidden="false" customHeight="false" outlineLevel="0" collapsed="false">
      <c r="A16" s="6" t="n">
        <v>15</v>
      </c>
      <c r="B16" s="5" t="s">
        <v>12</v>
      </c>
      <c r="C16" s="7" t="s">
        <v>53</v>
      </c>
      <c r="D16" s="6" t="n">
        <v>107</v>
      </c>
      <c r="E16" s="7"/>
    </row>
    <row r="17" customFormat="false" ht="15" hidden="false" customHeight="false" outlineLevel="0" collapsed="false">
      <c r="A17" s="6" t="n">
        <v>16</v>
      </c>
      <c r="B17" s="5" t="s">
        <v>12</v>
      </c>
      <c r="C17" s="7" t="s">
        <v>54</v>
      </c>
      <c r="D17" s="6" t="n">
        <v>108</v>
      </c>
      <c r="E17" s="7"/>
    </row>
    <row r="18" customFormat="false" ht="15" hidden="false" customHeight="false" outlineLevel="0" collapsed="false">
      <c r="A18" s="6" t="n">
        <v>17</v>
      </c>
      <c r="B18" s="5" t="s">
        <v>12</v>
      </c>
      <c r="C18" s="7" t="s">
        <v>55</v>
      </c>
      <c r="D18" s="6" t="n">
        <v>111</v>
      </c>
      <c r="E18" s="7"/>
    </row>
    <row r="19" customFormat="false" ht="15" hidden="false" customHeight="false" outlineLevel="0" collapsed="false">
      <c r="A19" s="6" t="n">
        <v>18</v>
      </c>
      <c r="B19" s="5" t="s">
        <v>14</v>
      </c>
      <c r="C19" s="7" t="s">
        <v>56</v>
      </c>
      <c r="D19" s="6" t="n">
        <v>115</v>
      </c>
      <c r="E19" s="7"/>
    </row>
    <row r="20" customFormat="false" ht="15" hidden="false" customHeight="false" outlineLevel="0" collapsed="false">
      <c r="A20" s="6" t="n">
        <v>19</v>
      </c>
      <c r="B20" s="5" t="s">
        <v>14</v>
      </c>
      <c r="C20" s="7" t="s">
        <v>57</v>
      </c>
      <c r="D20" s="6" t="n">
        <v>116</v>
      </c>
      <c r="E20" s="7"/>
    </row>
    <row r="21" customFormat="false" ht="15" hidden="false" customHeight="false" outlineLevel="0" collapsed="false">
      <c r="A21" s="6" t="n">
        <v>20</v>
      </c>
      <c r="B21" s="5" t="s">
        <v>14</v>
      </c>
      <c r="C21" s="7" t="s">
        <v>58</v>
      </c>
      <c r="D21" s="6" t="n">
        <v>117</v>
      </c>
      <c r="E21" s="7"/>
    </row>
    <row r="22" customFormat="false" ht="23.85" hidden="false" customHeight="false" outlineLevel="0" collapsed="false">
      <c r="A22" s="6" t="n">
        <v>21</v>
      </c>
      <c r="B22" s="5" t="s">
        <v>14</v>
      </c>
      <c r="C22" s="7" t="s">
        <v>59</v>
      </c>
      <c r="D22" s="6" t="n">
        <v>118</v>
      </c>
      <c r="E22" s="7"/>
    </row>
    <row r="23" customFormat="false" ht="15" hidden="false" customHeight="false" outlineLevel="0" collapsed="false">
      <c r="A23" s="6" t="n">
        <v>22</v>
      </c>
      <c r="B23" s="5" t="s">
        <v>14</v>
      </c>
      <c r="C23" s="7" t="s">
        <v>60</v>
      </c>
      <c r="D23" s="6" t="n">
        <v>119</v>
      </c>
      <c r="E23" s="7"/>
    </row>
    <row r="24" customFormat="false" ht="15" hidden="false" customHeight="false" outlineLevel="0" collapsed="false">
      <c r="A24" s="6" t="n">
        <v>23</v>
      </c>
      <c r="B24" s="5" t="s">
        <v>14</v>
      </c>
      <c r="C24" s="7" t="s">
        <v>61</v>
      </c>
      <c r="D24" s="6" t="n">
        <v>120</v>
      </c>
      <c r="E24" s="7"/>
    </row>
    <row r="25" customFormat="false" ht="15" hidden="false" customHeight="false" outlineLevel="0" collapsed="false">
      <c r="A25" s="6" t="n">
        <v>24</v>
      </c>
      <c r="B25" s="5" t="s">
        <v>14</v>
      </c>
      <c r="C25" s="7" t="s">
        <v>62</v>
      </c>
      <c r="D25" s="6" t="n">
        <v>121</v>
      </c>
      <c r="E25" s="7"/>
    </row>
    <row r="26" customFormat="false" ht="15" hidden="false" customHeight="false" outlineLevel="0" collapsed="false">
      <c r="A26" s="6" t="n">
        <v>25</v>
      </c>
      <c r="B26" s="5" t="s">
        <v>14</v>
      </c>
      <c r="C26" s="7" t="s">
        <v>63</v>
      </c>
      <c r="D26" s="6" t="n">
        <v>124</v>
      </c>
      <c r="E26" s="7"/>
    </row>
    <row r="27" customFormat="false" ht="15" hidden="false" customHeight="false" outlineLevel="0" collapsed="false">
      <c r="A27" s="6" t="n">
        <v>26</v>
      </c>
      <c r="B27" s="5" t="s">
        <v>14</v>
      </c>
      <c r="C27" s="7" t="s">
        <v>64</v>
      </c>
      <c r="D27" s="6" t="n">
        <v>125</v>
      </c>
      <c r="E27" s="7"/>
    </row>
    <row r="28" customFormat="false" ht="15" hidden="false" customHeight="false" outlineLevel="0" collapsed="false">
      <c r="A28" s="6" t="n">
        <v>27</v>
      </c>
      <c r="B28" s="5" t="s">
        <v>14</v>
      </c>
      <c r="C28" s="7" t="s">
        <v>65</v>
      </c>
      <c r="D28" s="6" t="n">
        <v>126</v>
      </c>
      <c r="E28" s="7"/>
    </row>
    <row r="29" customFormat="false" ht="23.85" hidden="false" customHeight="false" outlineLevel="0" collapsed="false">
      <c r="A29" s="6" t="n">
        <v>28</v>
      </c>
      <c r="B29" s="5" t="s">
        <v>14</v>
      </c>
      <c r="C29" s="7" t="s">
        <v>66</v>
      </c>
      <c r="D29" s="6" t="n">
        <v>142</v>
      </c>
      <c r="E29" s="7" t="s">
        <v>67</v>
      </c>
    </row>
    <row r="30" customFormat="false" ht="15" hidden="false" customHeight="false" outlineLevel="0" collapsed="false">
      <c r="A30" s="6" t="n">
        <v>29</v>
      </c>
      <c r="B30" s="5" t="s">
        <v>14</v>
      </c>
      <c r="C30" s="7" t="s">
        <v>68</v>
      </c>
      <c r="D30" s="6" t="n">
        <v>143</v>
      </c>
      <c r="E30" s="7"/>
    </row>
    <row r="31" customFormat="false" ht="23.85" hidden="false" customHeight="false" outlineLevel="0" collapsed="false">
      <c r="A31" s="6" t="n">
        <v>30</v>
      </c>
      <c r="B31" s="5" t="s">
        <v>14</v>
      </c>
      <c r="C31" s="7" t="s">
        <v>69</v>
      </c>
      <c r="D31" s="6" t="n">
        <v>144</v>
      </c>
      <c r="E31" s="7"/>
    </row>
    <row r="32" customFormat="false" ht="46.25" hidden="false" customHeight="false" outlineLevel="0" collapsed="false">
      <c r="A32" s="6" t="n">
        <v>31</v>
      </c>
      <c r="B32" s="5" t="s">
        <v>14</v>
      </c>
      <c r="C32" s="7" t="s">
        <v>70</v>
      </c>
      <c r="D32" s="6" t="n">
        <v>152</v>
      </c>
      <c r="E32" s="7" t="s">
        <v>71</v>
      </c>
    </row>
    <row r="33" customFormat="false" ht="15" hidden="false" customHeight="false" outlineLevel="0" collapsed="false">
      <c r="A33" s="6" t="n">
        <v>32</v>
      </c>
      <c r="B33" s="5" t="s">
        <v>14</v>
      </c>
      <c r="C33" s="7" t="s">
        <v>72</v>
      </c>
      <c r="D33" s="6" t="n">
        <v>153</v>
      </c>
      <c r="E33" s="7"/>
    </row>
    <row r="34" customFormat="false" ht="35.05" hidden="false" customHeight="false" outlineLevel="0" collapsed="false">
      <c r="A34" s="6" t="n">
        <v>33</v>
      </c>
      <c r="B34" s="5" t="s">
        <v>14</v>
      </c>
      <c r="C34" s="7" t="s">
        <v>73</v>
      </c>
      <c r="D34" s="6" t="n">
        <v>161</v>
      </c>
      <c r="E34" s="7" t="s">
        <v>74</v>
      </c>
    </row>
    <row r="35" customFormat="false" ht="15" hidden="false" customHeight="false" outlineLevel="0" collapsed="false">
      <c r="A35" s="6" t="n">
        <v>34</v>
      </c>
      <c r="B35" s="5" t="s">
        <v>14</v>
      </c>
      <c r="C35" s="7" t="s">
        <v>75</v>
      </c>
      <c r="D35" s="6" t="n">
        <v>162</v>
      </c>
      <c r="E35" s="7"/>
    </row>
    <row r="36" customFormat="false" ht="23.85" hidden="false" customHeight="false" outlineLevel="0" collapsed="false">
      <c r="A36" s="6" t="n">
        <v>35</v>
      </c>
      <c r="B36" s="5" t="s">
        <v>14</v>
      </c>
      <c r="C36" s="7" t="s">
        <v>76</v>
      </c>
      <c r="D36" s="6" t="n">
        <v>168</v>
      </c>
      <c r="E36" s="7" t="s">
        <v>77</v>
      </c>
    </row>
    <row r="37" customFormat="false" ht="15" hidden="false" customHeight="false" outlineLevel="0" collapsed="false">
      <c r="A37" s="6" t="n">
        <v>36</v>
      </c>
      <c r="B37" s="5" t="s">
        <v>14</v>
      </c>
      <c r="C37" s="7" t="s">
        <v>78</v>
      </c>
      <c r="D37" s="6" t="n">
        <v>170</v>
      </c>
      <c r="E37" s="7"/>
    </row>
    <row r="38" customFormat="false" ht="15" hidden="false" customHeight="false" outlineLevel="0" collapsed="false">
      <c r="A38" s="6" t="n">
        <v>37</v>
      </c>
      <c r="B38" s="5" t="s">
        <v>16</v>
      </c>
      <c r="C38" s="7" t="s">
        <v>79</v>
      </c>
      <c r="D38" s="6" t="n">
        <v>173</v>
      </c>
      <c r="E38" s="7"/>
    </row>
    <row r="39" customFormat="false" ht="15" hidden="false" customHeight="false" outlineLevel="0" collapsed="false">
      <c r="A39" s="6" t="n">
        <v>38</v>
      </c>
      <c r="B39" s="5" t="s">
        <v>16</v>
      </c>
      <c r="C39" s="7" t="s">
        <v>80</v>
      </c>
      <c r="D39" s="6" t="n">
        <v>175</v>
      </c>
      <c r="E39" s="7" t="s">
        <v>81</v>
      </c>
    </row>
    <row r="40" customFormat="false" ht="15" hidden="false" customHeight="false" outlineLevel="0" collapsed="false">
      <c r="A40" s="6" t="n">
        <v>39</v>
      </c>
      <c r="B40" s="5" t="s">
        <v>16</v>
      </c>
      <c r="C40" s="7" t="s">
        <v>82</v>
      </c>
      <c r="D40" s="6" t="n">
        <v>176</v>
      </c>
      <c r="E40" s="7"/>
    </row>
    <row r="41" customFormat="false" ht="15" hidden="false" customHeight="false" outlineLevel="0" collapsed="false">
      <c r="A41" s="6" t="n">
        <v>40</v>
      </c>
      <c r="B41" s="5" t="s">
        <v>16</v>
      </c>
      <c r="C41" s="7" t="s">
        <v>83</v>
      </c>
      <c r="D41" s="6" t="n">
        <v>177</v>
      </c>
      <c r="E41" s="7"/>
    </row>
    <row r="42" customFormat="false" ht="15" hidden="false" customHeight="false" outlineLevel="0" collapsed="false">
      <c r="A42" s="6" t="n">
        <v>41</v>
      </c>
      <c r="B42" s="5" t="s">
        <v>16</v>
      </c>
      <c r="C42" s="7" t="s">
        <v>84</v>
      </c>
      <c r="D42" s="6" t="n">
        <v>178</v>
      </c>
      <c r="E42" s="7"/>
    </row>
    <row r="43" customFormat="false" ht="15" hidden="false" customHeight="false" outlineLevel="0" collapsed="false">
      <c r="A43" s="6" t="n">
        <v>42</v>
      </c>
      <c r="B43" s="5" t="s">
        <v>16</v>
      </c>
      <c r="C43" s="7" t="s">
        <v>85</v>
      </c>
      <c r="D43" s="6" t="n">
        <v>179</v>
      </c>
      <c r="E43" s="7"/>
    </row>
    <row r="44" customFormat="false" ht="15" hidden="false" customHeight="false" outlineLevel="0" collapsed="false">
      <c r="A44" s="6" t="n">
        <v>43</v>
      </c>
      <c r="B44" s="5" t="s">
        <v>16</v>
      </c>
      <c r="C44" s="7" t="s">
        <v>86</v>
      </c>
      <c r="D44" s="6" t="n">
        <v>180</v>
      </c>
      <c r="E44" s="7"/>
    </row>
    <row r="45" customFormat="false" ht="15" hidden="false" customHeight="false" outlineLevel="0" collapsed="false">
      <c r="A45" s="6" t="n">
        <v>44</v>
      </c>
      <c r="B45" s="5" t="s">
        <v>16</v>
      </c>
      <c r="C45" s="7" t="s">
        <v>87</v>
      </c>
      <c r="D45" s="6" t="n">
        <v>191</v>
      </c>
      <c r="E45" s="7"/>
    </row>
    <row r="46" customFormat="false" ht="15" hidden="false" customHeight="false" outlineLevel="0" collapsed="false">
      <c r="A46" s="6" t="n">
        <v>45</v>
      </c>
      <c r="B46" s="5" t="s">
        <v>16</v>
      </c>
      <c r="C46" s="7" t="s">
        <v>88</v>
      </c>
      <c r="D46" s="6" t="n">
        <v>193</v>
      </c>
      <c r="E46" s="7"/>
    </row>
    <row r="47" customFormat="false" ht="23.85" hidden="false" customHeight="false" outlineLevel="0" collapsed="false">
      <c r="A47" s="6" t="n">
        <v>46</v>
      </c>
      <c r="B47" s="5" t="s">
        <v>16</v>
      </c>
      <c r="C47" s="7" t="s">
        <v>89</v>
      </c>
      <c r="D47" s="6" t="n">
        <v>197</v>
      </c>
      <c r="E47" s="7" t="s">
        <v>90</v>
      </c>
    </row>
    <row r="48" customFormat="false" ht="35.05" hidden="false" customHeight="false" outlineLevel="0" collapsed="false">
      <c r="A48" s="6" t="n">
        <v>47</v>
      </c>
      <c r="B48" s="5" t="s">
        <v>16</v>
      </c>
      <c r="C48" s="7" t="s">
        <v>91</v>
      </c>
      <c r="D48" s="6" t="n">
        <v>203</v>
      </c>
      <c r="E48" s="7" t="s">
        <v>92</v>
      </c>
    </row>
    <row r="49" customFormat="false" ht="15" hidden="false" customHeight="false" outlineLevel="0" collapsed="false">
      <c r="A49" s="6" t="n">
        <v>48</v>
      </c>
      <c r="B49" s="5" t="s">
        <v>16</v>
      </c>
      <c r="C49" s="7" t="s">
        <v>93</v>
      </c>
      <c r="D49" s="6" t="n">
        <v>205</v>
      </c>
      <c r="E49" s="7"/>
    </row>
    <row r="50" customFormat="false" ht="15" hidden="false" customHeight="false" outlineLevel="0" collapsed="false">
      <c r="A50" s="6" t="n">
        <v>49</v>
      </c>
      <c r="B50" s="5" t="s">
        <v>16</v>
      </c>
      <c r="C50" s="7" t="s">
        <v>94</v>
      </c>
      <c r="D50" s="6" t="n">
        <v>207</v>
      </c>
      <c r="E50" s="7"/>
    </row>
    <row r="51" customFormat="false" ht="23.85" hidden="false" customHeight="false" outlineLevel="0" collapsed="false">
      <c r="A51" s="6" t="n">
        <v>50</v>
      </c>
      <c r="B51" s="5" t="s">
        <v>16</v>
      </c>
      <c r="C51" s="7" t="s">
        <v>95</v>
      </c>
      <c r="D51" s="6" t="n">
        <v>217</v>
      </c>
      <c r="E51" s="7" t="s">
        <v>96</v>
      </c>
    </row>
    <row r="52" customFormat="false" ht="15" hidden="false" customHeight="false" outlineLevel="0" collapsed="false">
      <c r="A52" s="6" t="n">
        <v>51</v>
      </c>
      <c r="B52" s="5" t="s">
        <v>16</v>
      </c>
      <c r="C52" s="7" t="s">
        <v>97</v>
      </c>
      <c r="D52" s="6" t="n">
        <v>219</v>
      </c>
      <c r="E52" s="7"/>
    </row>
    <row r="53" customFormat="false" ht="15" hidden="false" customHeight="false" outlineLevel="0" collapsed="false">
      <c r="A53" s="6" t="n">
        <v>52</v>
      </c>
      <c r="B53" s="5" t="s">
        <v>16</v>
      </c>
      <c r="C53" s="7" t="s">
        <v>98</v>
      </c>
      <c r="D53" s="6" t="n">
        <v>221</v>
      </c>
      <c r="E53" s="7"/>
    </row>
    <row r="54" customFormat="false" ht="23.85" hidden="false" customHeight="false" outlineLevel="0" collapsed="false">
      <c r="A54" s="6" t="n">
        <v>53</v>
      </c>
      <c r="B54" s="5" t="s">
        <v>16</v>
      </c>
      <c r="C54" s="7" t="s">
        <v>99</v>
      </c>
      <c r="D54" s="6" t="n">
        <v>223</v>
      </c>
      <c r="E54" s="7"/>
    </row>
    <row r="55" customFormat="false" ht="35.05" hidden="false" customHeight="false" outlineLevel="0" collapsed="false">
      <c r="A55" s="6" t="n">
        <v>54</v>
      </c>
      <c r="B55" s="5" t="s">
        <v>16</v>
      </c>
      <c r="C55" s="7" t="s">
        <v>100</v>
      </c>
      <c r="D55" s="6" t="n">
        <v>229</v>
      </c>
      <c r="E55" s="7" t="s">
        <v>101</v>
      </c>
    </row>
    <row r="56" customFormat="false" ht="15" hidden="false" customHeight="false" outlineLevel="0" collapsed="false">
      <c r="A56" s="6" t="n">
        <v>55</v>
      </c>
      <c r="B56" s="5" t="s">
        <v>16</v>
      </c>
      <c r="C56" s="7" t="s">
        <v>102</v>
      </c>
      <c r="D56" s="6" t="n">
        <v>231</v>
      </c>
      <c r="E56" s="7"/>
    </row>
    <row r="57" customFormat="false" ht="23.85" hidden="false" customHeight="false" outlineLevel="0" collapsed="false">
      <c r="A57" s="6" t="n">
        <v>56</v>
      </c>
      <c r="B57" s="5" t="s">
        <v>16</v>
      </c>
      <c r="C57" s="7" t="s">
        <v>103</v>
      </c>
      <c r="D57" s="6" t="n">
        <v>237</v>
      </c>
      <c r="E57" s="7" t="s">
        <v>104</v>
      </c>
    </row>
    <row r="58" customFormat="false" ht="15" hidden="false" customHeight="false" outlineLevel="0" collapsed="false">
      <c r="A58" s="6" t="n">
        <v>57</v>
      </c>
      <c r="B58" s="5" t="s">
        <v>16</v>
      </c>
      <c r="C58" s="7" t="s">
        <v>105</v>
      </c>
      <c r="D58" s="6" t="n">
        <v>239</v>
      </c>
      <c r="E58" s="7"/>
    </row>
    <row r="59" customFormat="false" ht="15" hidden="false" customHeight="false" outlineLevel="0" collapsed="false">
      <c r="A59" s="6" t="n">
        <v>58</v>
      </c>
      <c r="B59" s="5" t="s">
        <v>16</v>
      </c>
      <c r="C59" s="7" t="s">
        <v>106</v>
      </c>
      <c r="D59" s="6" t="n">
        <v>241</v>
      </c>
      <c r="E59" s="7"/>
    </row>
    <row r="60" customFormat="false" ht="15" hidden="false" customHeight="false" outlineLevel="0" collapsed="false">
      <c r="A60" s="6" t="n">
        <v>59</v>
      </c>
      <c r="B60" s="5" t="s">
        <v>16</v>
      </c>
      <c r="C60" s="7" t="s">
        <v>107</v>
      </c>
      <c r="D60" s="6" t="n">
        <v>243</v>
      </c>
      <c r="E60" s="7"/>
    </row>
    <row r="61" customFormat="false" ht="15" hidden="false" customHeight="false" outlineLevel="0" collapsed="false">
      <c r="A61" s="6" t="n">
        <v>60</v>
      </c>
      <c r="B61" s="5" t="s">
        <v>16</v>
      </c>
      <c r="C61" s="7" t="s">
        <v>108</v>
      </c>
      <c r="D61" s="6" t="n">
        <v>245</v>
      </c>
      <c r="E61" s="7"/>
    </row>
    <row r="62" customFormat="false" ht="35.05" hidden="false" customHeight="false" outlineLevel="0" collapsed="false">
      <c r="A62" s="6" t="n">
        <v>61</v>
      </c>
      <c r="B62" s="5" t="s">
        <v>16</v>
      </c>
      <c r="C62" s="7" t="s">
        <v>109</v>
      </c>
      <c r="D62" s="6" t="n">
        <v>255</v>
      </c>
      <c r="E62" s="7" t="s">
        <v>110</v>
      </c>
    </row>
    <row r="63" customFormat="false" ht="15" hidden="false" customHeight="false" outlineLevel="0" collapsed="false">
      <c r="A63" s="6" t="n">
        <v>62</v>
      </c>
      <c r="B63" s="5" t="s">
        <v>16</v>
      </c>
      <c r="C63" s="7" t="s">
        <v>111</v>
      </c>
      <c r="D63" s="6" t="n">
        <v>257</v>
      </c>
      <c r="E63" s="7"/>
    </row>
    <row r="64" customFormat="false" ht="15" hidden="false" customHeight="false" outlineLevel="0" collapsed="false">
      <c r="A64" s="6" t="n">
        <v>63</v>
      </c>
      <c r="B64" s="5" t="s">
        <v>16</v>
      </c>
      <c r="C64" s="7" t="s">
        <v>112</v>
      </c>
      <c r="D64" s="6" t="n">
        <v>259</v>
      </c>
      <c r="E64" s="7"/>
    </row>
    <row r="65" customFormat="false" ht="15" hidden="false" customHeight="false" outlineLevel="0" collapsed="false">
      <c r="A65" s="6" t="n">
        <v>64</v>
      </c>
      <c r="B65" s="5" t="s">
        <v>18</v>
      </c>
      <c r="C65" s="7" t="s">
        <v>113</v>
      </c>
      <c r="D65" s="6" t="n">
        <v>273</v>
      </c>
      <c r="E65" s="7" t="s">
        <v>114</v>
      </c>
    </row>
    <row r="66" customFormat="false" ht="15" hidden="false" customHeight="false" outlineLevel="0" collapsed="false">
      <c r="A66" s="6" t="n">
        <v>65</v>
      </c>
      <c r="B66" s="5" t="s">
        <v>18</v>
      </c>
      <c r="C66" s="7" t="s">
        <v>115</v>
      </c>
      <c r="D66" s="6" t="n">
        <v>275</v>
      </c>
      <c r="E66" s="7"/>
    </row>
    <row r="67" customFormat="false" ht="23.85" hidden="false" customHeight="false" outlineLevel="0" collapsed="false">
      <c r="A67" s="6" t="n">
        <v>66</v>
      </c>
      <c r="B67" s="5" t="s">
        <v>18</v>
      </c>
      <c r="C67" s="7" t="s">
        <v>116</v>
      </c>
      <c r="D67" s="6" t="n">
        <v>300</v>
      </c>
      <c r="E67" s="7" t="s">
        <v>117</v>
      </c>
    </row>
    <row r="68" customFormat="false" ht="23.85" hidden="false" customHeight="false" outlineLevel="0" collapsed="false">
      <c r="A68" s="6" t="n">
        <v>67</v>
      </c>
      <c r="B68" s="5" t="s">
        <v>18</v>
      </c>
      <c r="C68" s="7" t="s">
        <v>118</v>
      </c>
      <c r="D68" s="6" t="n">
        <v>305</v>
      </c>
      <c r="E68" s="7" t="s">
        <v>119</v>
      </c>
    </row>
    <row r="69" customFormat="false" ht="46.25" hidden="false" customHeight="false" outlineLevel="0" collapsed="false">
      <c r="A69" s="6" t="n">
        <v>68</v>
      </c>
      <c r="B69" s="5" t="s">
        <v>18</v>
      </c>
      <c r="C69" s="7" t="s">
        <v>120</v>
      </c>
      <c r="D69" s="6" t="n">
        <v>325</v>
      </c>
      <c r="E69" s="7" t="s">
        <v>121</v>
      </c>
    </row>
    <row r="70" customFormat="false" ht="23.85" hidden="false" customHeight="false" outlineLevel="0" collapsed="false">
      <c r="A70" s="6" t="n">
        <v>69</v>
      </c>
      <c r="B70" s="5" t="s">
        <v>18</v>
      </c>
      <c r="C70" s="7" t="s">
        <v>122</v>
      </c>
      <c r="D70" s="6" t="n">
        <v>326</v>
      </c>
      <c r="E70" s="7"/>
    </row>
    <row r="71" customFormat="false" ht="23.85" hidden="false" customHeight="false" outlineLevel="0" collapsed="false">
      <c r="A71" s="6" t="n">
        <v>70</v>
      </c>
      <c r="B71" s="5" t="s">
        <v>18</v>
      </c>
      <c r="C71" s="7" t="s">
        <v>123</v>
      </c>
      <c r="D71" s="6" t="n">
        <v>327</v>
      </c>
      <c r="E71" s="7"/>
    </row>
    <row r="72" customFormat="false" ht="15" hidden="false" customHeight="false" outlineLevel="0" collapsed="false">
      <c r="A72" s="6" t="n">
        <v>71</v>
      </c>
      <c r="B72" s="5" t="s">
        <v>18</v>
      </c>
      <c r="C72" s="7" t="s">
        <v>124</v>
      </c>
      <c r="D72" s="6" t="n">
        <v>329</v>
      </c>
      <c r="E72" s="7"/>
    </row>
    <row r="73" customFormat="false" ht="15" hidden="false" customHeight="false" outlineLevel="0" collapsed="false">
      <c r="A73" s="6" t="n">
        <v>72</v>
      </c>
      <c r="B73" s="5" t="s">
        <v>18</v>
      </c>
      <c r="C73" s="7" t="s">
        <v>125</v>
      </c>
      <c r="D73" s="6" t="n">
        <v>362</v>
      </c>
      <c r="E73" s="7"/>
    </row>
    <row r="74" customFormat="false" ht="15" hidden="false" customHeight="false" outlineLevel="0" collapsed="false">
      <c r="A74" s="6" t="n">
        <v>73</v>
      </c>
      <c r="B74" s="5" t="s">
        <v>18</v>
      </c>
      <c r="C74" s="7" t="s">
        <v>126</v>
      </c>
      <c r="D74" s="6" t="n">
        <v>363</v>
      </c>
      <c r="E74" s="7"/>
    </row>
    <row r="75" customFormat="false" ht="15" hidden="false" customHeight="false" outlineLevel="0" collapsed="false">
      <c r="A75" s="6" t="n">
        <v>74</v>
      </c>
      <c r="B75" s="5" t="s">
        <v>18</v>
      </c>
      <c r="C75" s="7" t="s">
        <v>127</v>
      </c>
      <c r="D75" s="6" t="n">
        <v>364</v>
      </c>
      <c r="E75" s="7"/>
    </row>
    <row r="76" customFormat="false" ht="23.85" hidden="false" customHeight="false" outlineLevel="0" collapsed="false">
      <c r="A76" s="6" t="n">
        <v>75</v>
      </c>
      <c r="B76" s="5" t="s">
        <v>18</v>
      </c>
      <c r="C76" s="7" t="s">
        <v>128</v>
      </c>
      <c r="D76" s="6" t="n">
        <v>365</v>
      </c>
      <c r="E76" s="7"/>
    </row>
    <row r="77" customFormat="false" ht="23.85" hidden="false" customHeight="false" outlineLevel="0" collapsed="false">
      <c r="A77" s="6" t="n">
        <v>76</v>
      </c>
      <c r="B77" s="5" t="s">
        <v>18</v>
      </c>
      <c r="C77" s="7" t="s">
        <v>129</v>
      </c>
      <c r="D77" s="6" t="n">
        <v>368</v>
      </c>
      <c r="E77" s="7"/>
    </row>
    <row r="78" customFormat="false" ht="23.85" hidden="false" customHeight="false" outlineLevel="0" collapsed="false">
      <c r="A78" s="6" t="n">
        <v>77</v>
      </c>
      <c r="B78" s="5" t="s">
        <v>18</v>
      </c>
      <c r="C78" s="7" t="s">
        <v>130</v>
      </c>
      <c r="D78" s="6" t="n">
        <v>372</v>
      </c>
      <c r="E78" s="7"/>
    </row>
    <row r="79" customFormat="false" ht="23.85" hidden="false" customHeight="false" outlineLevel="0" collapsed="false">
      <c r="A79" s="6" t="n">
        <v>78</v>
      </c>
      <c r="B79" s="5" t="s">
        <v>18</v>
      </c>
      <c r="C79" s="7" t="s">
        <v>131</v>
      </c>
      <c r="D79" s="6" t="n">
        <v>418</v>
      </c>
      <c r="E79" s="7"/>
    </row>
    <row r="80" customFormat="false" ht="15" hidden="false" customHeight="false" outlineLevel="0" collapsed="false">
      <c r="A80" s="6" t="n">
        <v>79</v>
      </c>
      <c r="B80" s="5" t="s">
        <v>18</v>
      </c>
      <c r="C80" s="7" t="s">
        <v>132</v>
      </c>
      <c r="D80" s="6" t="n">
        <v>422</v>
      </c>
      <c r="E80" s="7"/>
    </row>
    <row r="81" customFormat="false" ht="23.85" hidden="false" customHeight="false" outlineLevel="0" collapsed="false">
      <c r="A81" s="6" t="n">
        <v>80</v>
      </c>
      <c r="B81" s="5" t="s">
        <v>18</v>
      </c>
      <c r="C81" s="7" t="s">
        <v>133</v>
      </c>
      <c r="D81" s="6" t="n">
        <v>423</v>
      </c>
      <c r="E81" s="7"/>
    </row>
    <row r="82" customFormat="false" ht="15" hidden="false" customHeight="false" outlineLevel="0" collapsed="false">
      <c r="A82" s="6" t="n">
        <v>81</v>
      </c>
      <c r="B82" s="5" t="s">
        <v>18</v>
      </c>
      <c r="C82" s="7" t="s">
        <v>134</v>
      </c>
      <c r="D82" s="6" t="n">
        <v>427</v>
      </c>
      <c r="E82" s="7"/>
    </row>
    <row r="83" customFormat="false" ht="15" hidden="false" customHeight="false" outlineLevel="0" collapsed="false">
      <c r="A83" s="6" t="n">
        <v>82</v>
      </c>
      <c r="B83" s="5" t="s">
        <v>18</v>
      </c>
      <c r="C83" s="7" t="s">
        <v>135</v>
      </c>
      <c r="D83" s="6" t="n">
        <v>456</v>
      </c>
      <c r="E83" s="7"/>
    </row>
    <row r="84" customFormat="false" ht="15" hidden="false" customHeight="false" outlineLevel="0" collapsed="false">
      <c r="A84" s="6" t="n">
        <v>83</v>
      </c>
      <c r="B84" s="5" t="s">
        <v>18</v>
      </c>
      <c r="C84" s="7" t="s">
        <v>136</v>
      </c>
      <c r="D84" s="6" t="n">
        <v>457</v>
      </c>
      <c r="E84" s="7"/>
    </row>
    <row r="85" customFormat="false" ht="15" hidden="false" customHeight="false" outlineLevel="0" collapsed="false">
      <c r="A85" s="6" t="n">
        <v>84</v>
      </c>
      <c r="B85" s="5" t="s">
        <v>18</v>
      </c>
      <c r="C85" s="7" t="s">
        <v>137</v>
      </c>
      <c r="D85" s="6" t="n">
        <v>458</v>
      </c>
      <c r="E85" s="7"/>
    </row>
    <row r="86" customFormat="false" ht="15" hidden="false" customHeight="false" outlineLevel="0" collapsed="false">
      <c r="A86" s="6" t="n">
        <v>85</v>
      </c>
      <c r="B86" s="5" t="s">
        <v>18</v>
      </c>
      <c r="C86" s="7" t="s">
        <v>138</v>
      </c>
      <c r="D86" s="6" t="n">
        <v>459</v>
      </c>
      <c r="E86" s="7"/>
    </row>
    <row r="87" customFormat="false" ht="15" hidden="false" customHeight="false" outlineLevel="0" collapsed="false">
      <c r="A87" s="6" t="n">
        <v>86</v>
      </c>
      <c r="B87" s="5" t="s">
        <v>18</v>
      </c>
      <c r="C87" s="7" t="s">
        <v>139</v>
      </c>
      <c r="D87" s="6" t="n">
        <v>462</v>
      </c>
      <c r="E87" s="7"/>
    </row>
    <row r="88" customFormat="false" ht="15" hidden="false" customHeight="false" outlineLevel="0" collapsed="false">
      <c r="A88" s="6" t="n">
        <v>87</v>
      </c>
      <c r="B88" s="5" t="s">
        <v>18</v>
      </c>
      <c r="C88" s="7" t="s">
        <v>140</v>
      </c>
      <c r="D88" s="6" t="n">
        <v>464</v>
      </c>
      <c r="E88" s="7"/>
    </row>
    <row r="89" customFormat="false" ht="46.25" hidden="false" customHeight="false" outlineLevel="0" collapsed="false">
      <c r="A89" s="6" t="n">
        <v>88</v>
      </c>
      <c r="B89" s="5" t="s">
        <v>18</v>
      </c>
      <c r="C89" s="7" t="s">
        <v>141</v>
      </c>
      <c r="D89" s="6" t="n">
        <v>473</v>
      </c>
      <c r="E89" s="7" t="s">
        <v>142</v>
      </c>
    </row>
    <row r="90" customFormat="false" ht="23.85" hidden="false" customHeight="false" outlineLevel="0" collapsed="false">
      <c r="A90" s="6" t="n">
        <v>89</v>
      </c>
      <c r="B90" s="5" t="s">
        <v>18</v>
      </c>
      <c r="C90" s="7" t="s">
        <v>143</v>
      </c>
      <c r="D90" s="6" t="n">
        <v>484</v>
      </c>
      <c r="E90" s="7" t="s">
        <v>144</v>
      </c>
    </row>
    <row r="91" customFormat="false" ht="23.85" hidden="false" customHeight="false" outlineLevel="0" collapsed="false">
      <c r="A91" s="6" t="n">
        <v>90</v>
      </c>
      <c r="B91" s="5" t="s">
        <v>18</v>
      </c>
      <c r="C91" s="7" t="s">
        <v>145</v>
      </c>
      <c r="D91" s="6" t="n">
        <v>485</v>
      </c>
      <c r="E91" s="7"/>
    </row>
    <row r="92" customFormat="false" ht="23.85" hidden="false" customHeight="false" outlineLevel="0" collapsed="false">
      <c r="A92" s="6" t="n">
        <v>91</v>
      </c>
      <c r="B92" s="5" t="s">
        <v>18</v>
      </c>
      <c r="C92" s="7" t="s">
        <v>146</v>
      </c>
      <c r="D92" s="6" t="n">
        <v>488</v>
      </c>
      <c r="E92" s="7"/>
    </row>
    <row r="93" customFormat="false" ht="15" hidden="false" customHeight="false" outlineLevel="0" collapsed="false">
      <c r="A93" s="6" t="n">
        <v>92</v>
      </c>
      <c r="B93" s="5" t="s">
        <v>18</v>
      </c>
      <c r="C93" s="7" t="s">
        <v>147</v>
      </c>
      <c r="D93" s="6" t="n">
        <v>491</v>
      </c>
      <c r="E93" s="7"/>
    </row>
    <row r="94" customFormat="false" ht="15" hidden="false" customHeight="false" outlineLevel="0" collapsed="false">
      <c r="A94" s="6" t="n">
        <v>93</v>
      </c>
      <c r="B94" s="5" t="s">
        <v>18</v>
      </c>
      <c r="C94" s="7" t="s">
        <v>148</v>
      </c>
      <c r="D94" s="6" t="n">
        <v>492</v>
      </c>
      <c r="E94" s="7"/>
    </row>
    <row r="95" customFormat="false" ht="35.05" hidden="false" customHeight="false" outlineLevel="0" collapsed="false">
      <c r="A95" s="6" t="n">
        <v>94</v>
      </c>
      <c r="B95" s="5" t="s">
        <v>18</v>
      </c>
      <c r="C95" s="7" t="s">
        <v>149</v>
      </c>
      <c r="D95" s="6" t="n">
        <v>493</v>
      </c>
      <c r="E95" s="7"/>
    </row>
    <row r="96" customFormat="false" ht="15" hidden="false" customHeight="false" outlineLevel="0" collapsed="false">
      <c r="A96" s="6" t="n">
        <v>95</v>
      </c>
      <c r="B96" s="5" t="s">
        <v>18</v>
      </c>
      <c r="C96" s="7" t="s">
        <v>150</v>
      </c>
      <c r="D96" s="6" t="n">
        <v>496</v>
      </c>
      <c r="E96" s="7"/>
    </row>
    <row r="97" customFormat="false" ht="15" hidden="false" customHeight="false" outlineLevel="0" collapsed="false">
      <c r="A97" s="6" t="n">
        <v>96</v>
      </c>
      <c r="B97" s="5" t="s">
        <v>18</v>
      </c>
      <c r="C97" s="7" t="s">
        <v>151</v>
      </c>
      <c r="D97" s="6" t="n">
        <v>499</v>
      </c>
      <c r="E97" s="7"/>
    </row>
    <row r="98" customFormat="false" ht="23.85" hidden="false" customHeight="false" outlineLevel="0" collapsed="false">
      <c r="A98" s="6" t="n">
        <v>97</v>
      </c>
      <c r="B98" s="5" t="s">
        <v>18</v>
      </c>
      <c r="C98" s="7" t="s">
        <v>152</v>
      </c>
      <c r="D98" s="6" t="n">
        <v>518</v>
      </c>
      <c r="E98" s="7"/>
    </row>
    <row r="99" customFormat="false" ht="23.85" hidden="false" customHeight="false" outlineLevel="0" collapsed="false">
      <c r="A99" s="6" t="n">
        <v>98</v>
      </c>
      <c r="B99" s="5" t="s">
        <v>18</v>
      </c>
      <c r="C99" s="7" t="s">
        <v>153</v>
      </c>
      <c r="D99" s="6" t="n">
        <v>519</v>
      </c>
      <c r="E99" s="7"/>
    </row>
    <row r="100" customFormat="false" ht="23.85" hidden="false" customHeight="false" outlineLevel="0" collapsed="false">
      <c r="A100" s="6" t="n">
        <v>99</v>
      </c>
      <c r="B100" s="5" t="s">
        <v>18</v>
      </c>
      <c r="C100" s="7" t="s">
        <v>154</v>
      </c>
      <c r="D100" s="6" t="n">
        <v>528</v>
      </c>
      <c r="E100" s="7"/>
    </row>
    <row r="101" customFormat="false" ht="23.85" hidden="false" customHeight="false" outlineLevel="0" collapsed="false">
      <c r="A101" s="6" t="n">
        <v>100</v>
      </c>
      <c r="B101" s="5" t="s">
        <v>18</v>
      </c>
      <c r="C101" s="7" t="s">
        <v>155</v>
      </c>
      <c r="D101" s="6" t="n">
        <v>531</v>
      </c>
      <c r="E101" s="7"/>
    </row>
    <row r="102" customFormat="false" ht="23.85" hidden="false" customHeight="false" outlineLevel="0" collapsed="false">
      <c r="A102" s="6" t="n">
        <v>101</v>
      </c>
      <c r="B102" s="5" t="s">
        <v>18</v>
      </c>
      <c r="C102" s="7" t="s">
        <v>156</v>
      </c>
      <c r="D102" s="6" t="n">
        <v>533</v>
      </c>
      <c r="E102" s="7" t="s">
        <v>157</v>
      </c>
    </row>
    <row r="103" customFormat="false" ht="15" hidden="false" customHeight="false" outlineLevel="0" collapsed="false">
      <c r="A103" s="6" t="n">
        <v>102</v>
      </c>
      <c r="B103" s="5" t="s">
        <v>20</v>
      </c>
      <c r="C103" s="7" t="s">
        <v>158</v>
      </c>
      <c r="D103" s="6" t="n">
        <v>537</v>
      </c>
      <c r="E103" s="7"/>
    </row>
    <row r="104" customFormat="false" ht="15" hidden="false" customHeight="false" outlineLevel="0" collapsed="false">
      <c r="A104" s="6" t="n">
        <v>103</v>
      </c>
      <c r="B104" s="5" t="s">
        <v>20</v>
      </c>
      <c r="C104" s="7" t="s">
        <v>159</v>
      </c>
      <c r="D104" s="6" t="n">
        <v>538</v>
      </c>
      <c r="E104" s="7"/>
    </row>
    <row r="105" customFormat="false" ht="15" hidden="false" customHeight="false" outlineLevel="0" collapsed="false">
      <c r="A105" s="6" t="n">
        <v>104</v>
      </c>
      <c r="B105" s="5" t="s">
        <v>20</v>
      </c>
      <c r="C105" s="7" t="s">
        <v>160</v>
      </c>
      <c r="D105" s="6" t="n">
        <v>539</v>
      </c>
      <c r="E105" s="7"/>
    </row>
    <row r="106" customFormat="false" ht="15" hidden="false" customHeight="false" outlineLevel="0" collapsed="false">
      <c r="A106" s="6" t="n">
        <v>105</v>
      </c>
      <c r="B106" s="5" t="s">
        <v>20</v>
      </c>
      <c r="C106" s="7" t="s">
        <v>161</v>
      </c>
      <c r="D106" s="6" t="n">
        <v>540</v>
      </c>
      <c r="E106" s="7"/>
    </row>
    <row r="107" customFormat="false" ht="23.85" hidden="false" customHeight="false" outlineLevel="0" collapsed="false">
      <c r="A107" s="6" t="n">
        <v>106</v>
      </c>
      <c r="B107" s="5" t="s">
        <v>20</v>
      </c>
      <c r="C107" s="7" t="s">
        <v>162</v>
      </c>
      <c r="D107" s="6" t="n">
        <v>556</v>
      </c>
      <c r="E107" s="7" t="s">
        <v>163</v>
      </c>
    </row>
    <row r="108" customFormat="false" ht="15" hidden="false" customHeight="false" outlineLevel="0" collapsed="false">
      <c r="A108" s="6" t="n">
        <v>107</v>
      </c>
      <c r="B108" s="5" t="s">
        <v>20</v>
      </c>
      <c r="C108" s="7" t="s">
        <v>164</v>
      </c>
      <c r="D108" s="6" t="n">
        <v>557</v>
      </c>
      <c r="E108" s="7"/>
    </row>
    <row r="109" customFormat="false" ht="15" hidden="false" customHeight="false" outlineLevel="0" collapsed="false">
      <c r="A109" s="6" t="n">
        <v>108</v>
      </c>
      <c r="B109" s="5" t="s">
        <v>22</v>
      </c>
      <c r="C109" s="7" t="s">
        <v>165</v>
      </c>
      <c r="D109" s="6" t="n">
        <v>567</v>
      </c>
      <c r="E109" s="7"/>
    </row>
    <row r="110" customFormat="false" ht="15" hidden="false" customHeight="false" outlineLevel="0" collapsed="false">
      <c r="A110" s="6" t="n">
        <v>109</v>
      </c>
      <c r="B110" s="5" t="s">
        <v>22</v>
      </c>
      <c r="C110" s="7" t="s">
        <v>166</v>
      </c>
      <c r="D110" s="6" t="n">
        <v>569</v>
      </c>
      <c r="E110" s="7"/>
    </row>
    <row r="111" customFormat="false" ht="15" hidden="false" customHeight="false" outlineLevel="0" collapsed="false">
      <c r="A111" s="6" t="n">
        <v>110</v>
      </c>
      <c r="B111" s="5" t="s">
        <v>22</v>
      </c>
      <c r="C111" s="7" t="s">
        <v>167</v>
      </c>
      <c r="D111" s="6" t="n">
        <v>570</v>
      </c>
      <c r="E111" s="7"/>
    </row>
    <row r="112" customFormat="false" ht="15" hidden="false" customHeight="false" outlineLevel="0" collapsed="false">
      <c r="A112" s="6" t="n">
        <v>111</v>
      </c>
      <c r="B112" s="5" t="s">
        <v>22</v>
      </c>
      <c r="C112" s="7" t="s">
        <v>168</v>
      </c>
      <c r="D112" s="6" t="n">
        <v>571</v>
      </c>
      <c r="E112" s="7"/>
    </row>
    <row r="113" customFormat="false" ht="35.05" hidden="false" customHeight="false" outlineLevel="0" collapsed="false">
      <c r="A113" s="6" t="n">
        <v>112</v>
      </c>
      <c r="B113" s="5" t="s">
        <v>22</v>
      </c>
      <c r="C113" s="7" t="s">
        <v>169</v>
      </c>
      <c r="D113" s="6" t="n">
        <v>585</v>
      </c>
      <c r="E113" s="7" t="s">
        <v>170</v>
      </c>
    </row>
    <row r="114" customFormat="false" ht="15" hidden="false" customHeight="false" outlineLevel="0" collapsed="false">
      <c r="A114" s="6" t="n">
        <v>113</v>
      </c>
      <c r="B114" s="5" t="s">
        <v>22</v>
      </c>
      <c r="C114" s="7" t="s">
        <v>171</v>
      </c>
      <c r="D114" s="6" t="n">
        <v>586</v>
      </c>
      <c r="E114" s="7"/>
    </row>
    <row r="115" customFormat="false" ht="15" hidden="false" customHeight="false" outlineLevel="0" collapsed="false">
      <c r="A115" s="6" t="n">
        <v>114</v>
      </c>
      <c r="B115" s="5" t="s">
        <v>22</v>
      </c>
      <c r="C115" s="7" t="s">
        <v>172</v>
      </c>
      <c r="D115" s="6" t="n">
        <v>587</v>
      </c>
      <c r="E115" s="7"/>
    </row>
    <row r="116" customFormat="false" ht="15" hidden="false" customHeight="false" outlineLevel="0" collapsed="false">
      <c r="A116" s="6" t="n">
        <v>115</v>
      </c>
      <c r="B116" s="5" t="s">
        <v>22</v>
      </c>
      <c r="C116" s="7" t="s">
        <v>173</v>
      </c>
      <c r="D116" s="6" t="n">
        <v>588</v>
      </c>
      <c r="E116" s="7"/>
    </row>
    <row r="117" customFormat="false" ht="15" hidden="false" customHeight="false" outlineLevel="0" collapsed="false">
      <c r="A117" s="6" t="n">
        <v>116</v>
      </c>
      <c r="B117" s="5" t="s">
        <v>24</v>
      </c>
      <c r="C117" s="7" t="s">
        <v>174</v>
      </c>
      <c r="D117" s="6" t="n">
        <v>592</v>
      </c>
      <c r="E117" s="7"/>
    </row>
    <row r="118" customFormat="false" ht="15" hidden="false" customHeight="false" outlineLevel="0" collapsed="false">
      <c r="A118" s="6" t="n">
        <v>117</v>
      </c>
      <c r="B118" s="5" t="s">
        <v>24</v>
      </c>
      <c r="C118" s="7" t="s">
        <v>175</v>
      </c>
      <c r="D118" s="6" t="n">
        <v>593</v>
      </c>
      <c r="E118" s="7"/>
    </row>
    <row r="119" customFormat="false" ht="15" hidden="false" customHeight="false" outlineLevel="0" collapsed="false">
      <c r="A119" s="6" t="n">
        <v>118</v>
      </c>
      <c r="B119" s="5" t="s">
        <v>24</v>
      </c>
      <c r="C119" s="7" t="s">
        <v>176</v>
      </c>
      <c r="D119" s="6" t="n">
        <v>594</v>
      </c>
      <c r="E119" s="7"/>
    </row>
    <row r="120" customFormat="false" ht="15" hidden="false" customHeight="false" outlineLevel="0" collapsed="false">
      <c r="A120" s="6" t="n">
        <v>119</v>
      </c>
      <c r="B120" s="5" t="s">
        <v>26</v>
      </c>
      <c r="C120" s="7" t="s">
        <v>177</v>
      </c>
      <c r="D120" s="6" t="n">
        <v>640</v>
      </c>
      <c r="E120" s="7"/>
    </row>
    <row r="121" customFormat="false" ht="23.85" hidden="false" customHeight="false" outlineLevel="0" collapsed="false">
      <c r="A121" s="6" t="n">
        <v>120</v>
      </c>
      <c r="B121" s="5" t="s">
        <v>26</v>
      </c>
      <c r="C121" s="7" t="s">
        <v>178</v>
      </c>
      <c r="D121" s="6" t="n">
        <v>641</v>
      </c>
      <c r="E121" s="7"/>
    </row>
    <row r="122" customFormat="false" ht="15" hidden="false" customHeight="false" outlineLevel="0" collapsed="false">
      <c r="A122" s="6" t="n">
        <v>121</v>
      </c>
      <c r="B122" s="5" t="s">
        <v>26</v>
      </c>
      <c r="C122" s="7" t="s">
        <v>179</v>
      </c>
      <c r="D122" s="6" t="n">
        <v>642</v>
      </c>
      <c r="E122" s="7"/>
    </row>
    <row r="123" customFormat="false" ht="15" hidden="false" customHeight="false" outlineLevel="0" collapsed="false">
      <c r="A123" s="6" t="n">
        <v>122</v>
      </c>
      <c r="B123" s="5" t="s">
        <v>26</v>
      </c>
      <c r="C123" s="7" t="s">
        <v>180</v>
      </c>
      <c r="D123" s="6" t="n">
        <v>649</v>
      </c>
      <c r="E123" s="7"/>
    </row>
    <row r="124" customFormat="false" ht="15" hidden="false" customHeight="false" outlineLevel="0" collapsed="false">
      <c r="A124" s="6" t="n">
        <v>123</v>
      </c>
      <c r="B124" s="5" t="s">
        <v>26</v>
      </c>
      <c r="C124" s="7" t="s">
        <v>181</v>
      </c>
      <c r="D124" s="6" t="n">
        <v>656</v>
      </c>
      <c r="E124" s="7"/>
    </row>
  </sheetData>
  <autoFilter ref="A1:E1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2026-09-06T02:30:01Z</dcterms:created>
  <dc:creator>openpyxl</dc:creator>
  <dc:description/>
  <dc:language>en-US</dc:language>
  <cp:lastModifiedBy/>
  <dcterms:modified xsi:type="dcterms:W3CDTF">2026-09-06T02:30:01Z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