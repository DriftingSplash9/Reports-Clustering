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age by country" sheetId="1" state="visible" r:id="rId3"/>
    <sheet name="Where to go next" sheetId="2" state="visible" r:id="rId4"/>
    <sheet name="By continent" sheetId="3" state="visible" r:id="rId5"/>
    <sheet name="Notes" sheetId="4" state="visible" r:id="rId6"/>
  </sheets>
  <definedNames>
    <definedName function="false" hidden="true" localSheetId="0" name="_xlnm._FilterDatabase" vbProcedure="false">'Coverage by country'!$A$1:$O$201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<sst xmlns="http://schemas.openxmlformats.org/spreadsheetml/2006/main" count="822" uniqueCount="492">
  <si>
    <t xml:space="preserve">Code</t>
  </si>
  <si>
    <t xml:space="preserve">Country / body</t>
  </si>
  <si>
    <t xml:space="preserve">Continent</t>
  </si>
  <si>
    <t xml:space="preserve">Nodes</t>
  </si>
  <si>
    <t xml:space="preserve">Edges touching</t>
  </si>
  <si>
    <t xml:space="preserve">Internal edges</t>
  </si>
  <si>
    <t xml:space="preserve">Outbound</t>
  </si>
  <si>
    <t xml:space="preserve">Inbound</t>
  </si>
  <si>
    <t xml:space="preserve">Zero-edge nodes</t>
  </si>
  <si>
    <t xml:space="preserve">% zero-edge</t>
  </si>
  <si>
    <t xml:space="preserve">Edges per node</t>
  </si>
  <si>
    <t xml:space="preserve">A</t>
  </si>
  <si>
    <t xml:space="preserve">B</t>
  </si>
  <si>
    <t xml:space="preserve">C</t>
  </si>
  <si>
    <t xml:space="preserve">Coverage read</t>
  </si>
  <si>
    <t xml:space="preserve">CA</t>
  </si>
  <si>
    <t xml:space="preserve">Canada</t>
  </si>
  <si>
    <t xml:space="preserve">North America</t>
  </si>
  <si>
    <t xml:space="preserve">INT</t>
  </si>
  <si>
    <t xml:space="preserve">International</t>
  </si>
  <si>
    <t xml:space="preserve">Standards hubs and international bodies — the corpus spine; 798 inbound edges.</t>
  </si>
  <si>
    <t xml:space="preserve">RU</t>
  </si>
  <si>
    <t xml:space="preserve">Russia</t>
  </si>
  <si>
    <t xml:space="preserve">Asia</t>
  </si>
  <si>
    <t xml:space="preserve">US</t>
  </si>
  <si>
    <t xml:space="preserve">United States</t>
  </si>
  <si>
    <t xml:space="preserve">ID</t>
  </si>
  <si>
    <t xml:space="preserve">Indonesia</t>
  </si>
  <si>
    <t xml:space="preserve">CN</t>
  </si>
  <si>
    <t xml:space="preserve">China</t>
  </si>
  <si>
    <t xml:space="preserve">TW</t>
  </si>
  <si>
    <t xml:space="preserve">Taiwan</t>
  </si>
  <si>
    <t xml:space="preserve">MX</t>
  </si>
  <si>
    <t xml:space="preserve">Mexico</t>
  </si>
  <si>
    <t xml:space="preserve">IN</t>
  </si>
  <si>
    <t xml:space="preserve">India</t>
  </si>
  <si>
    <t xml:space="preserve">BR</t>
  </si>
  <si>
    <t xml:space="preserve">Brazil</t>
  </si>
  <si>
    <t xml:space="preserve">South America</t>
  </si>
  <si>
    <t xml:space="preserve">EU</t>
  </si>
  <si>
    <t xml:space="preserve">European Union</t>
  </si>
  <si>
    <t xml:space="preserve">Europe</t>
  </si>
  <si>
    <t xml:space="preserve">EU-level instruments; 173 inbound from member states.</t>
  </si>
  <si>
    <t xml:space="preserve">PH</t>
  </si>
  <si>
    <t xml:space="preserve">Philippines</t>
  </si>
  <si>
    <t xml:space="preserve">AR</t>
  </si>
  <si>
    <t xml:space="preserve">Argentina</t>
  </si>
  <si>
    <t xml:space="preserve">JP</t>
  </si>
  <si>
    <t xml:space="preserve">Japan</t>
  </si>
  <si>
    <t xml:space="preserve">EG</t>
  </si>
  <si>
    <t xml:space="preserve">Egypt</t>
  </si>
  <si>
    <t xml:space="preserve">Africa</t>
  </si>
  <si>
    <t xml:space="preserve">GB</t>
  </si>
  <si>
    <t xml:space="preserve">United Kingdom</t>
  </si>
  <si>
    <t xml:space="preserve">CL</t>
  </si>
  <si>
    <t xml:space="preserve">Chile</t>
  </si>
  <si>
    <t xml:space="preserve">BO</t>
  </si>
  <si>
    <t xml:space="preserve">Bolivia</t>
  </si>
  <si>
    <t xml:space="preserve">KR</t>
  </si>
  <si>
    <t xml:space="preserve">South Korea</t>
  </si>
  <si>
    <t xml:space="preserve">UY</t>
  </si>
  <si>
    <t xml:space="preserve">Uruguay</t>
  </si>
  <si>
    <t xml:space="preserve">DE</t>
  </si>
  <si>
    <t xml:space="preserve">Germany</t>
  </si>
  <si>
    <t xml:space="preserve">EC</t>
  </si>
  <si>
    <t xml:space="preserve">Ecuador</t>
  </si>
  <si>
    <t xml:space="preserve">PY</t>
  </si>
  <si>
    <t xml:space="preserve">Paraguay</t>
  </si>
  <si>
    <t xml:space="preserve">VN</t>
  </si>
  <si>
    <t xml:space="preserve">Vietnam</t>
  </si>
  <si>
    <t xml:space="preserve">ET</t>
  </si>
  <si>
    <t xml:space="preserve">Ethiopia</t>
  </si>
  <si>
    <t xml:space="preserve">SR</t>
  </si>
  <si>
    <t xml:space="preserve">Suriname</t>
  </si>
  <si>
    <t xml:space="preserve">SG</t>
  </si>
  <si>
    <t xml:space="preserve">Singapore</t>
  </si>
  <si>
    <t xml:space="preserve">CO</t>
  </si>
  <si>
    <t xml:space="preserve">Colombia</t>
  </si>
  <si>
    <t xml:space="preserve">GY</t>
  </si>
  <si>
    <t xml:space="preserve">Guyana</t>
  </si>
  <si>
    <t xml:space="preserve">PE</t>
  </si>
  <si>
    <t xml:space="preserve">Peru</t>
  </si>
  <si>
    <t xml:space="preserve">TR</t>
  </si>
  <si>
    <t xml:space="preserve">Türkiye</t>
  </si>
  <si>
    <t xml:space="preserve">NZ</t>
  </si>
  <si>
    <t xml:space="preserve">New Zealand</t>
  </si>
  <si>
    <t xml:space="preserve">Oceania &amp; Pacific</t>
  </si>
  <si>
    <t xml:space="preserve">AU</t>
  </si>
  <si>
    <t xml:space="preserve">Australia</t>
  </si>
  <si>
    <t xml:space="preserve">IL</t>
  </si>
  <si>
    <t xml:space="preserve">Israel</t>
  </si>
  <si>
    <t xml:space="preserve">Middle East</t>
  </si>
  <si>
    <t xml:space="preserve">IR</t>
  </si>
  <si>
    <t xml:space="preserve">Iran</t>
  </si>
  <si>
    <t xml:space="preserve">AE</t>
  </si>
  <si>
    <t xml:space="preserve">United Arab Emirates</t>
  </si>
  <si>
    <t xml:space="preserve">VE</t>
  </si>
  <si>
    <t xml:space="preserve">Venezuela</t>
  </si>
  <si>
    <t xml:space="preserve">NL</t>
  </si>
  <si>
    <t xml:space="preserve">Netherlands</t>
  </si>
  <si>
    <t xml:space="preserve">ZA</t>
  </si>
  <si>
    <t xml:space="preserve">South Africa</t>
  </si>
  <si>
    <t xml:space="preserve">TH</t>
  </si>
  <si>
    <t xml:space="preserve">Thailand</t>
  </si>
  <si>
    <t xml:space="preserve">FR</t>
  </si>
  <si>
    <t xml:space="preserve">France</t>
  </si>
  <si>
    <t xml:space="preserve">NG</t>
  </si>
  <si>
    <t xml:space="preserve">Nigeria</t>
  </si>
  <si>
    <t xml:space="preserve">KE</t>
  </si>
  <si>
    <t xml:space="preserve">Kenya</t>
  </si>
  <si>
    <t xml:space="preserve">SA</t>
  </si>
  <si>
    <t xml:space="preserve">Saudi Arabia</t>
  </si>
  <si>
    <t xml:space="preserve">TZ</t>
  </si>
  <si>
    <t xml:space="preserve">Tanzania</t>
  </si>
  <si>
    <t xml:space="preserve">IQ</t>
  </si>
  <si>
    <t xml:space="preserve">Iraq</t>
  </si>
  <si>
    <t xml:space="preserve">IE</t>
  </si>
  <si>
    <t xml:space="preserve">Ireland</t>
  </si>
  <si>
    <t xml:space="preserve">DJ</t>
  </si>
  <si>
    <t xml:space="preserve">Djibouti</t>
  </si>
  <si>
    <t xml:space="preserve">GH</t>
  </si>
  <si>
    <t xml:space="preserve">Ghana</t>
  </si>
  <si>
    <t xml:space="preserve">AF</t>
  </si>
  <si>
    <t xml:space="preserve">Afghanistan</t>
  </si>
  <si>
    <t xml:space="preserve">AT</t>
  </si>
  <si>
    <t xml:space="preserve">Austria</t>
  </si>
  <si>
    <t xml:space="preserve">GQ</t>
  </si>
  <si>
    <t xml:space="preserve">Equatorial Guinea</t>
  </si>
  <si>
    <t xml:space="preserve">IT</t>
  </si>
  <si>
    <t xml:space="preserve">Italy</t>
  </si>
  <si>
    <t xml:space="preserve">MA</t>
  </si>
  <si>
    <t xml:space="preserve">Morocco</t>
  </si>
  <si>
    <t xml:space="preserve">NO</t>
  </si>
  <si>
    <t xml:space="preserve">Norway</t>
  </si>
  <si>
    <t xml:space="preserve">TN</t>
  </si>
  <si>
    <t xml:space="preserve">Tunisia</t>
  </si>
  <si>
    <t xml:space="preserve">BE</t>
  </si>
  <si>
    <t xml:space="preserve">Belgium</t>
  </si>
  <si>
    <t xml:space="preserve">BW</t>
  </si>
  <si>
    <t xml:space="preserve">Botswana</t>
  </si>
  <si>
    <t xml:space="preserve">HR</t>
  </si>
  <si>
    <t xml:space="preserve">Croatia</t>
  </si>
  <si>
    <t xml:space="preserve">DK</t>
  </si>
  <si>
    <t xml:space="preserve">Denmark</t>
  </si>
  <si>
    <t xml:space="preserve">SZ</t>
  </si>
  <si>
    <t xml:space="preserve">Eswatini</t>
  </si>
  <si>
    <t xml:space="preserve">GR</t>
  </si>
  <si>
    <t xml:space="preserve">Greece</t>
  </si>
  <si>
    <t xml:space="preserve">LS</t>
  </si>
  <si>
    <t xml:space="preserve">Lesotho</t>
  </si>
  <si>
    <t xml:space="preserve">LT</t>
  </si>
  <si>
    <t xml:space="preserve">Lithuania</t>
  </si>
  <si>
    <t xml:space="preserve">LU</t>
  </si>
  <si>
    <t xml:space="preserve">Luxembourg</t>
  </si>
  <si>
    <t xml:space="preserve">MU</t>
  </si>
  <si>
    <t xml:space="preserve">Mauritius</t>
  </si>
  <si>
    <t xml:space="preserve">MM</t>
  </si>
  <si>
    <t xml:space="preserve">Myanmar</t>
  </si>
  <si>
    <t xml:space="preserve">RW</t>
  </si>
  <si>
    <t xml:space="preserve">Rwanda</t>
  </si>
  <si>
    <t xml:space="preserve">SD</t>
  </si>
  <si>
    <t xml:space="preserve">Sudan</t>
  </si>
  <si>
    <t xml:space="preserve">SE</t>
  </si>
  <si>
    <t xml:space="preserve">Sweden</t>
  </si>
  <si>
    <t xml:space="preserve">UG</t>
  </si>
  <si>
    <t xml:space="preserve">Uganda</t>
  </si>
  <si>
    <t xml:space="preserve">DZ</t>
  </si>
  <si>
    <t xml:space="preserve">Algeria</t>
  </si>
  <si>
    <t xml:space="preserve">AO</t>
  </si>
  <si>
    <t xml:space="preserve">Angola</t>
  </si>
  <si>
    <t xml:space="preserve">BF</t>
  </si>
  <si>
    <t xml:space="preserve">Burkina Faso</t>
  </si>
  <si>
    <t xml:space="preserve">CY</t>
  </si>
  <si>
    <t xml:space="preserve">Cyprus</t>
  </si>
  <si>
    <t xml:space="preserve">CZ</t>
  </si>
  <si>
    <t xml:space="preserve">Czechia</t>
  </si>
  <si>
    <t xml:space="preserve">FI</t>
  </si>
  <si>
    <t xml:space="preserve">Finland</t>
  </si>
  <si>
    <t xml:space="preserve">GN</t>
  </si>
  <si>
    <t xml:space="preserve">Guinea</t>
  </si>
  <si>
    <t xml:space="preserve">GW</t>
  </si>
  <si>
    <t xml:space="preserve">Guinea-Bissau</t>
  </si>
  <si>
    <t xml:space="preserve">HU</t>
  </si>
  <si>
    <t xml:space="preserve">Hungary</t>
  </si>
  <si>
    <t xml:space="preserve">LV</t>
  </si>
  <si>
    <t xml:space="preserve">Latvia</t>
  </si>
  <si>
    <t xml:space="preserve">MG</t>
  </si>
  <si>
    <t xml:space="preserve">Madagascar</t>
  </si>
  <si>
    <t xml:space="preserve">MW</t>
  </si>
  <si>
    <t xml:space="preserve">Malawi</t>
  </si>
  <si>
    <t xml:space="preserve">MT</t>
  </si>
  <si>
    <t xml:space="preserve">Malta</t>
  </si>
  <si>
    <t xml:space="preserve">PL</t>
  </si>
  <si>
    <t xml:space="preserve">Poland</t>
  </si>
  <si>
    <t xml:space="preserve">CG</t>
  </si>
  <si>
    <t xml:space="preserve">Republic of the Congo</t>
  </si>
  <si>
    <t xml:space="preserve">RO</t>
  </si>
  <si>
    <t xml:space="preserve">Romania</t>
  </si>
  <si>
    <t xml:space="preserve">SK</t>
  </si>
  <si>
    <t xml:space="preserve">Slovakia</t>
  </si>
  <si>
    <t xml:space="preserve">SI</t>
  </si>
  <si>
    <t xml:space="preserve">Slovenia</t>
  </si>
  <si>
    <t xml:space="preserve">SO</t>
  </si>
  <si>
    <t xml:space="preserve">Somalia</t>
  </si>
  <si>
    <t xml:space="preserve">ES</t>
  </si>
  <si>
    <t xml:space="preserve">Spain</t>
  </si>
  <si>
    <t xml:space="preserve">ST</t>
  </si>
  <si>
    <t xml:space="preserve">São Tomé and Príncipe</t>
  </si>
  <si>
    <t xml:space="preserve">BG</t>
  </si>
  <si>
    <t xml:space="preserve">Bulgaria</t>
  </si>
  <si>
    <t xml:space="preserve">EE</t>
  </si>
  <si>
    <t xml:space="preserve">Estonia</t>
  </si>
  <si>
    <t xml:space="preserve">IS</t>
  </si>
  <si>
    <t xml:space="preserve">Iceland</t>
  </si>
  <si>
    <t xml:space="preserve">ML</t>
  </si>
  <si>
    <t xml:space="preserve">Mali</t>
  </si>
  <si>
    <t xml:space="preserve">MZ</t>
  </si>
  <si>
    <t xml:space="preserve">Mozambique</t>
  </si>
  <si>
    <t xml:space="preserve">NA</t>
  </si>
  <si>
    <t xml:space="preserve">Namibia</t>
  </si>
  <si>
    <t xml:space="preserve">SN</t>
  </si>
  <si>
    <t xml:space="preserve">Senegal</t>
  </si>
  <si>
    <t xml:space="preserve">ZM</t>
  </si>
  <si>
    <t xml:space="preserve">Zambia</t>
  </si>
  <si>
    <t xml:space="preserve">ZW</t>
  </si>
  <si>
    <t xml:space="preserve">Zimbabwe</t>
  </si>
  <si>
    <t xml:space="preserve">BJ</t>
  </si>
  <si>
    <t xml:space="preserve">Benin</t>
  </si>
  <si>
    <t xml:space="preserve">CI</t>
  </si>
  <si>
    <t xml:space="preserve">TD</t>
  </si>
  <si>
    <t xml:space="preserve">Chad</t>
  </si>
  <si>
    <t xml:space="preserve">CK</t>
  </si>
  <si>
    <t xml:space="preserve">Cook Islands</t>
  </si>
  <si>
    <t xml:space="preserve">CD</t>
  </si>
  <si>
    <t xml:space="preserve">Democratic Republic of the Congo</t>
  </si>
  <si>
    <t xml:space="preserve">GA</t>
  </si>
  <si>
    <t xml:space="preserve">Gabon</t>
  </si>
  <si>
    <t xml:space="preserve">LY</t>
  </si>
  <si>
    <t xml:space="preserve">Libya</t>
  </si>
  <si>
    <t xml:space="preserve">NE</t>
  </si>
  <si>
    <t xml:space="preserve">Niger</t>
  </si>
  <si>
    <t xml:space="preserve">PT</t>
  </si>
  <si>
    <t xml:space="preserve">Portugal</t>
  </si>
  <si>
    <t xml:space="preserve">SL</t>
  </si>
  <si>
    <t xml:space="preserve">Sierra Leone</t>
  </si>
  <si>
    <t xml:space="preserve">SY</t>
  </si>
  <si>
    <t xml:space="preserve">Syria</t>
  </si>
  <si>
    <t xml:space="preserve">YE</t>
  </si>
  <si>
    <t xml:space="preserve">Yemen</t>
  </si>
  <si>
    <t xml:space="preserve">BY</t>
  </si>
  <si>
    <t xml:space="preserve">Belarus</t>
  </si>
  <si>
    <t xml:space="preserve">CV</t>
  </si>
  <si>
    <t xml:space="preserve">Cabo Verde</t>
  </si>
  <si>
    <t xml:space="preserve">CM</t>
  </si>
  <si>
    <t xml:space="preserve">Cameroon</t>
  </si>
  <si>
    <t xml:space="preserve">LK</t>
  </si>
  <si>
    <t xml:space="preserve">Sri Lanka</t>
  </si>
  <si>
    <t xml:space="preserve">GM</t>
  </si>
  <si>
    <t xml:space="preserve">The Gambia</t>
  </si>
  <si>
    <t xml:space="preserve">AL</t>
  </si>
  <si>
    <t xml:space="preserve">Albania</t>
  </si>
  <si>
    <t xml:space="preserve">AM</t>
  </si>
  <si>
    <t xml:space="preserve">Armenia</t>
  </si>
  <si>
    <t xml:space="preserve">BI</t>
  </si>
  <si>
    <t xml:space="preserve">Burundi</t>
  </si>
  <si>
    <t xml:space="preserve">CF</t>
  </si>
  <si>
    <t xml:space="preserve">Central African Republic</t>
  </si>
  <si>
    <t xml:space="preserve">KM</t>
  </si>
  <si>
    <t xml:space="preserve">Comoros</t>
  </si>
  <si>
    <t xml:space="preserve">CR</t>
  </si>
  <si>
    <t xml:space="preserve">Costa Rica</t>
  </si>
  <si>
    <t xml:space="preserve">DO</t>
  </si>
  <si>
    <t xml:space="preserve">Dominican Republic</t>
  </si>
  <si>
    <t xml:space="preserve">FJ</t>
  </si>
  <si>
    <t xml:space="preserve">Fiji</t>
  </si>
  <si>
    <t xml:space="preserve">GE</t>
  </si>
  <si>
    <t xml:space="preserve">Georgia</t>
  </si>
  <si>
    <t xml:space="preserve">JO</t>
  </si>
  <si>
    <t xml:space="preserve">Jordan</t>
  </si>
  <si>
    <t xml:space="preserve">KZ</t>
  </si>
  <si>
    <t xml:space="preserve">Kazakhstan</t>
  </si>
  <si>
    <t xml:space="preserve">KW</t>
  </si>
  <si>
    <t xml:space="preserve">Kuwait</t>
  </si>
  <si>
    <t xml:space="preserve">MY</t>
  </si>
  <si>
    <t xml:space="preserve">Malaysia</t>
  </si>
  <si>
    <t xml:space="preserve">MV</t>
  </si>
  <si>
    <t xml:space="preserve">Maldives</t>
  </si>
  <si>
    <t xml:space="preserve">MR</t>
  </si>
  <si>
    <t xml:space="preserve">Mauritania</t>
  </si>
  <si>
    <t xml:space="preserve">PK</t>
  </si>
  <si>
    <t xml:space="preserve">Pakistan</t>
  </si>
  <si>
    <t xml:space="preserve">PA</t>
  </si>
  <si>
    <t xml:space="preserve">Panama</t>
  </si>
  <si>
    <t xml:space="preserve">SC</t>
  </si>
  <si>
    <t xml:space="preserve">Seychelles</t>
  </si>
  <si>
    <t xml:space="preserve">SS</t>
  </si>
  <si>
    <t xml:space="preserve">South Sudan</t>
  </si>
  <si>
    <t xml:space="preserve">CH</t>
  </si>
  <si>
    <t xml:space="preserve">Switzerland</t>
  </si>
  <si>
    <t xml:space="preserve">TG</t>
  </si>
  <si>
    <t xml:space="preserve">Togo</t>
  </si>
  <si>
    <t xml:space="preserve">AZ</t>
  </si>
  <si>
    <t xml:space="preserve">Azerbaijan</t>
  </si>
  <si>
    <t xml:space="preserve">BH</t>
  </si>
  <si>
    <t xml:space="preserve">Bahrain</t>
  </si>
  <si>
    <t xml:space="preserve">BD</t>
  </si>
  <si>
    <t xml:space="preserve">Bangladesh</t>
  </si>
  <si>
    <t xml:space="preserve">BT</t>
  </si>
  <si>
    <t xml:space="preserve">Bhutan</t>
  </si>
  <si>
    <t xml:space="preserve">BN</t>
  </si>
  <si>
    <t xml:space="preserve">Brunei</t>
  </si>
  <si>
    <t xml:space="preserve">KH</t>
  </si>
  <si>
    <t xml:space="preserve">Cambodia</t>
  </si>
  <si>
    <t xml:space="preserve">ER</t>
  </si>
  <si>
    <t xml:space="preserve">Eritrea</t>
  </si>
  <si>
    <t xml:space="preserve">GT</t>
  </si>
  <si>
    <t xml:space="preserve">Guatemala</t>
  </si>
  <si>
    <t xml:space="preserve">JM</t>
  </si>
  <si>
    <t xml:space="preserve">Jamaica</t>
  </si>
  <si>
    <t xml:space="preserve">KG</t>
  </si>
  <si>
    <t xml:space="preserve">Kyrgyzstan</t>
  </si>
  <si>
    <t xml:space="preserve">LA</t>
  </si>
  <si>
    <t xml:space="preserve">Laos</t>
  </si>
  <si>
    <t xml:space="preserve">LB</t>
  </si>
  <si>
    <t xml:space="preserve">Lebanon</t>
  </si>
  <si>
    <t xml:space="preserve">LR</t>
  </si>
  <si>
    <t xml:space="preserve">Liberia</t>
  </si>
  <si>
    <t xml:space="preserve">MD</t>
  </si>
  <si>
    <t xml:space="preserve">Moldova</t>
  </si>
  <si>
    <t xml:space="preserve">MN</t>
  </si>
  <si>
    <t xml:space="preserve">Mongolia</t>
  </si>
  <si>
    <t xml:space="preserve">NP</t>
  </si>
  <si>
    <t xml:space="preserve">Nepal</t>
  </si>
  <si>
    <t xml:space="preserve">NU</t>
  </si>
  <si>
    <t xml:space="preserve">Niue</t>
  </si>
  <si>
    <t xml:space="preserve">OM</t>
  </si>
  <si>
    <t xml:space="preserve">Oman</t>
  </si>
  <si>
    <t xml:space="preserve">BS</t>
  </si>
  <si>
    <t xml:space="preserve">The Bahamas</t>
  </si>
  <si>
    <t xml:space="preserve">TL</t>
  </si>
  <si>
    <t xml:space="preserve">Timor-Leste</t>
  </si>
  <si>
    <t xml:space="preserve">TT</t>
  </si>
  <si>
    <t xml:space="preserve">Trinidad and Tobago</t>
  </si>
  <si>
    <t xml:space="preserve">BB</t>
  </si>
  <si>
    <t xml:space="preserve">Barbados</t>
  </si>
  <si>
    <t xml:space="preserve">BA</t>
  </si>
  <si>
    <t xml:space="preserve">Bosnia and Herzegovina</t>
  </si>
  <si>
    <t xml:space="preserve">GL</t>
  </si>
  <si>
    <t xml:space="preserve">Greenland</t>
  </si>
  <si>
    <t xml:space="preserve">HN</t>
  </si>
  <si>
    <t xml:space="preserve">Honduras</t>
  </si>
  <si>
    <t xml:space="preserve">XK</t>
  </si>
  <si>
    <t xml:space="preserve">Kosovo</t>
  </si>
  <si>
    <t xml:space="preserve">FM</t>
  </si>
  <si>
    <t xml:space="preserve">Micronesia</t>
  </si>
  <si>
    <t xml:space="preserve">ME</t>
  </si>
  <si>
    <t xml:space="preserve">Montenegro</t>
  </si>
  <si>
    <t xml:space="preserve">MK</t>
  </si>
  <si>
    <t xml:space="preserve">North Macedonia</t>
  </si>
  <si>
    <t xml:space="preserve">PW</t>
  </si>
  <si>
    <t xml:space="preserve">Palau</t>
  </si>
  <si>
    <t xml:space="preserve">PR</t>
  </si>
  <si>
    <t xml:space="preserve">Puerto Rico</t>
  </si>
  <si>
    <t xml:space="preserve">QA</t>
  </si>
  <si>
    <t xml:space="preserve">Qatar</t>
  </si>
  <si>
    <t xml:space="preserve">RS</t>
  </si>
  <si>
    <t xml:space="preserve">Serbia</t>
  </si>
  <si>
    <t xml:space="preserve">TK</t>
  </si>
  <si>
    <t xml:space="preserve">Tokelau</t>
  </si>
  <si>
    <t xml:space="preserve">UA</t>
  </si>
  <si>
    <t xml:space="preserve">Ukraine</t>
  </si>
  <si>
    <t xml:space="preserve">AD</t>
  </si>
  <si>
    <t xml:space="preserve">Andorra</t>
  </si>
  <si>
    <t xml:space="preserve">AG</t>
  </si>
  <si>
    <t xml:space="preserve">Antigua and Barbuda</t>
  </si>
  <si>
    <t xml:space="preserve">BZ</t>
  </si>
  <si>
    <t xml:space="preserve">Belize</t>
  </si>
  <si>
    <t xml:space="preserve">CU</t>
  </si>
  <si>
    <t xml:space="preserve">Cuba</t>
  </si>
  <si>
    <t xml:space="preserve">DM</t>
  </si>
  <si>
    <t xml:space="preserve">Dominica</t>
  </si>
  <si>
    <t xml:space="preserve">SV</t>
  </si>
  <si>
    <t xml:space="preserve">El Salvador</t>
  </si>
  <si>
    <t xml:space="preserve">HT</t>
  </si>
  <si>
    <t xml:space="preserve">Haiti</t>
  </si>
  <si>
    <t xml:space="preserve">HK</t>
  </si>
  <si>
    <t xml:space="preserve">Hong Kong SAR</t>
  </si>
  <si>
    <t xml:space="preserve">KI</t>
  </si>
  <si>
    <t xml:space="preserve">Kiribati</t>
  </si>
  <si>
    <t xml:space="preserve">LI</t>
  </si>
  <si>
    <t xml:space="preserve">Liechtenstein</t>
  </si>
  <si>
    <t xml:space="preserve">MH</t>
  </si>
  <si>
    <t xml:space="preserve">Marshall Islands</t>
  </si>
  <si>
    <t xml:space="preserve">NR</t>
  </si>
  <si>
    <t xml:space="preserve">Nauru</t>
  </si>
  <si>
    <t xml:space="preserve">NI</t>
  </si>
  <si>
    <t xml:space="preserve">Nicaragua</t>
  </si>
  <si>
    <t xml:space="preserve">PG</t>
  </si>
  <si>
    <t xml:space="preserve">Papua New Guinea</t>
  </si>
  <si>
    <t xml:space="preserve">LC</t>
  </si>
  <si>
    <t xml:space="preserve">Saint Lucia</t>
  </si>
  <si>
    <t xml:space="preserve">VC</t>
  </si>
  <si>
    <t xml:space="preserve">Saint Vincent and the Grenadines</t>
  </si>
  <si>
    <t xml:space="preserve">WS</t>
  </si>
  <si>
    <t xml:space="preserve">Samoa</t>
  </si>
  <si>
    <t xml:space="preserve">SM</t>
  </si>
  <si>
    <t xml:space="preserve">San Marino</t>
  </si>
  <si>
    <t xml:space="preserve">SB</t>
  </si>
  <si>
    <t xml:space="preserve">Solomon Islands</t>
  </si>
  <si>
    <t xml:space="preserve">TJ</t>
  </si>
  <si>
    <t xml:space="preserve">Tajikistan</t>
  </si>
  <si>
    <t xml:space="preserve">TO</t>
  </si>
  <si>
    <t xml:space="preserve">Tonga</t>
  </si>
  <si>
    <t xml:space="preserve">TM</t>
  </si>
  <si>
    <t xml:space="preserve">Turkmenistan</t>
  </si>
  <si>
    <t xml:space="preserve">TV</t>
  </si>
  <si>
    <t xml:space="preserve">Tuvalu</t>
  </si>
  <si>
    <t xml:space="preserve">UZ</t>
  </si>
  <si>
    <t xml:space="preserve">Uzbekistan</t>
  </si>
  <si>
    <t xml:space="preserve">VU</t>
  </si>
  <si>
    <t xml:space="preserve">Vanuatu</t>
  </si>
  <si>
    <t xml:space="preserve">PS</t>
  </si>
  <si>
    <t xml:space="preserve">West Bank and Gaza</t>
  </si>
  <si>
    <t xml:space="preserve">TOTAL</t>
  </si>
  <si>
    <t xml:space="preserve">Nodes tie to HANDOFF §2 (3,652). Edges touching double-counts a cross-border edge once per end.</t>
  </si>
  <si>
    <t xml:space="preserve">Class</t>
  </si>
  <si>
    <t xml:space="preserve">Rank</t>
  </si>
  <si>
    <t xml:space="preserve">Country</t>
  </si>
  <si>
    <t xml:space="preserve">Edges</t>
  </si>
  <si>
    <t xml:space="preserve">Why this one</t>
  </si>
  <si>
    <t xml:space="preserve">A — unwired depth</t>
  </si>
  <si>
    <t xml:space="preserve">60 nodes, 10 edges. Second largest stock of unwired nodes anywhere. Standing issue: the IPI compiler is unverified.</t>
  </si>
  <si>
    <t xml:space="preserve">109 nodes, 75 edges. Large family, half of it unwired; DGBAS publishes in depth.</t>
  </si>
  <si>
    <t xml:space="preserve">98 nodes, 61 edges. Four dead hosts confirmed DOWN (round 36) — check before scoping.</t>
  </si>
  <si>
    <t xml:space="preserve">38 nodes, 13 edges. A small, very well-documented statistical system — should wire fast.</t>
  </si>
  <si>
    <t xml:space="preserve">29 nodes, 2 edges. The single most unwired country in the corpus. Never had a research round.</t>
  </si>
  <si>
    <t xml:space="preserve">52 nodes, 25 edges.</t>
  </si>
  <si>
    <t xml:space="preserve">45 nodes, 23 edges. Touched by the candidates-tier round (2026-08-28) and not since.</t>
  </si>
  <si>
    <t xml:space="preserve">53 nodes, 28 edges. Part of the August LatAm import; INE Chile is well documented.</t>
  </si>
  <si>
    <t xml:space="preserve">46 nodes, 20 edges.</t>
  </si>
  <si>
    <t xml:space="preserve">41 nodes, 23 edges.</t>
  </si>
  <si>
    <t xml:space="preserve">37 nodes, 14 edges.</t>
  </si>
  <si>
    <t xml:space="preserve">46 nodes, 29 edges.</t>
  </si>
  <si>
    <t xml:space="preserve">26 nodes, 6 edges.</t>
  </si>
  <si>
    <t xml:space="preserve">25 nodes, 13 edges. 72% zero-edge.</t>
  </si>
  <si>
    <t xml:space="preserve">39 nodes, 25 edges.</t>
  </si>
  <si>
    <t xml:space="preserve">20 nodes, 13 edges.</t>
  </si>
  <si>
    <t xml:space="preserve">B — unexplored</t>
  </si>
  <si>
    <t xml:space="preserve">Uzbekistan — 1 node.</t>
  </si>
  <si>
    <t xml:space="preserve">Qatar — 2 nodes.</t>
  </si>
  <si>
    <t xml:space="preserve">Serbia — 2 nodes.</t>
  </si>
  <si>
    <t xml:space="preserve">Ukraine — a G20-adjacent economy on 2 nodes.</t>
  </si>
  <si>
    <t xml:space="preserve">Azerbaijan — 3 nodes.</t>
  </si>
  <si>
    <t xml:space="preserve">Jamaica — 3 nodes.</t>
  </si>
  <si>
    <t xml:space="preserve">The Bahamas — 3 nodes (option-E pair open).</t>
  </si>
  <si>
    <t xml:space="preserve">Lebanon — 3 nodes.</t>
  </si>
  <si>
    <t xml:space="preserve">Oman — 3 nodes.</t>
  </si>
  <si>
    <t xml:space="preserve">Bahrain — 3 nodes.</t>
  </si>
  <si>
    <t xml:space="preserve">Mongolia — 3 nodes.</t>
  </si>
  <si>
    <t xml:space="preserve">Bangladesh — 170M people, 3 nodes.</t>
  </si>
  <si>
    <t xml:space="preserve">Nepal — 3 nodes.</t>
  </si>
  <si>
    <t xml:space="preserve">Guatemala — 3 nodes (an option-E pair is already open here).</t>
  </si>
  <si>
    <t xml:space="preserve">Cambodia — 3 nodes.</t>
  </si>
  <si>
    <t xml:space="preserve">Brunei — 3 nodes.</t>
  </si>
  <si>
    <t xml:space="preserve">Switzerland — 4 nodes.</t>
  </si>
  <si>
    <t xml:space="preserve">Malaysia — 4 nodes.</t>
  </si>
  <si>
    <t xml:space="preserve">Pakistan — 240M people, 4 nodes.</t>
  </si>
  <si>
    <t xml:space="preserve">Countries / bodies</t>
  </si>
  <si>
    <t xml:space="preserve">Corpus coverage by country</t>
  </si>
  <si>
    <t xml:space="preserve">Generated</t>
  </si>
  <si>
    <t xml:space="preserve">2026-09-10, after CN round 45</t>
  </si>
  <si>
    <t xml:space="preserve">Source</t>
  </si>
  <si>
    <t xml:space="preserve">src/data/research/*.json plus the two hand-written seed files (src/data/reports.ts, src/data/dependencies.ts)</t>
  </si>
  <si>
    <t xml:space="preserve">Totals</t>
  </si>
  <si>
    <t xml:space="preserve">3,652 nodes and 3,329 unique dependencies — these tie exactly to HANDOFF.md §2, which is the project's one true count.</t>
  </si>
  <si>
    <t xml:space="preserve">Column definitions</t>
  </si>
  <si>
    <t xml:space="preserve">Reports whose country field is this code. INT is the stateless bucket (standards bodies, IMF, UN).</t>
  </si>
  <si>
    <t xml:space="preserve">Both ends inside this country.</t>
  </si>
  <si>
    <t xml:space="preserve">Source inside, target outside — usually a national release citing an international standard.</t>
  </si>
  <si>
    <t xml:space="preserve">Target inside, source outside. Only INT, EU and a few hub publications have many.</t>
  </si>
  <si>
    <t xml:space="preserve">Internal + outbound + inbound. A cross-border edge is counted once for EACH end, so summing this column across countries exceeds the 3,329 total by design.</t>
  </si>
  <si>
    <t xml:space="preserve">Reports with no edge in either direction — the recoverable stock. This is validate's ISOLATED block, split by country.</t>
  </si>
  <si>
    <t xml:space="preserve">A / B / C</t>
  </si>
  <si>
    <t xml:space="preserve">evidence_grade of the edges attributed to this country (internal + outbound).</t>
  </si>
  <si>
    <t xml:space="preserve">How to read it</t>
  </si>
  <si>
    <t xml:space="preserve">Two different kinds of thin, and they need opposite work.</t>
  </si>
  <si>
    <t xml:space="preserve">Many nodes, few edges. The nodes already exist and were imported in bulk in August 2026; nobody has read the documents that connect them. Highest yield per hour, because minting is done and only wiring is left.</t>
  </si>
  <si>
    <t xml:space="preserve">Few nodes at all. A real economy the corpus barely represents. Needs a minting run first, which is slower.</t>
  </si>
  <si>
    <t xml:space="preserve">Caveats</t>
  </si>
  <si>
    <t xml:space="preserve">Node COUNT is not depth of understanding. The EU-27 members look thin (Poland 8 nodes, Spain 8, Italy 10) but every one of those nodes is wired — they got the EU-chain treatment. Low node count with zero isolated nodes means "narrow but complete", not "neglected".</t>
  </si>
  <si>
    <t xml:space="preserve">The reverse also holds: Taiwan has 109 nodes and 50 of them are orphans.</t>
  </si>
  <si>
    <t xml:space="preserve">Population and GDP are NOT in this workbook — the "why this one" notes name them from general knowledge, not from a data source in the repo. Treat those as prompts, not evidence.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</si>
</sst>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>
          <bgColor rgb="FFFC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4" min="12" style="0" width="7"/>
    <col collapsed="false" customWidth="true" hidden="false" outlineLevel="0" max="15" min="15" style="0" width="6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n">
        <v>285</v>
      </c>
      <c r="E2" s="2" t="n">
        <f aca="false">F2+G2+H2</f>
        <v>394</v>
      </c>
      <c r="F2" s="2" t="n">
        <v>366</v>
      </c>
      <c r="G2" s="2" t="n">
        <v>28</v>
      </c>
      <c r="H2" s="2" t="n">
        <v>0</v>
      </c>
      <c r="I2" s="2" t="n">
        <v>12</v>
      </c>
      <c r="J2" s="3" t="n">
        <f aca="false">IF(D2=0,"",I2/D2)</f>
        <v>0.0421052631578947</v>
      </c>
      <c r="K2" s="4" t="n">
        <f aca="false">IF(D2=0,"",E2/D2)</f>
        <v>1.38245614035088</v>
      </c>
      <c r="L2" s="2" t="n">
        <v>120</v>
      </c>
      <c r="M2" s="2" t="n">
        <v>232</v>
      </c>
      <c r="N2" s="2" t="n">
        <v>35</v>
      </c>
      <c r="O2" s="2"/>
    </row>
    <row r="3" customFormat="false" ht="15" hidden="false" customHeight="false" outlineLevel="0" collapsed="false">
      <c r="A3" s="2" t="s">
        <v>18</v>
      </c>
      <c r="B3" s="2" t="s">
        <v>19</v>
      </c>
      <c r="C3" s="2" t="s">
        <v>19</v>
      </c>
      <c r="D3" s="2" t="n">
        <v>221</v>
      </c>
      <c r="E3" s="2" t="n">
        <f aca="false">F3+G3+H3</f>
        <v>953</v>
      </c>
      <c r="F3" s="2" t="n">
        <v>116</v>
      </c>
      <c r="G3" s="2" t="n">
        <v>39</v>
      </c>
      <c r="H3" s="2" t="n">
        <v>798</v>
      </c>
      <c r="I3" s="2" t="n">
        <v>53</v>
      </c>
      <c r="J3" s="3" t="n">
        <f aca="false">IF(D3=0,"",I3/D3)</f>
        <v>0.239819004524887</v>
      </c>
      <c r="K3" s="4" t="n">
        <f aca="false">IF(D3=0,"",E3/D3)</f>
        <v>4.31221719457014</v>
      </c>
      <c r="L3" s="2" t="n">
        <v>44</v>
      </c>
      <c r="M3" s="2" t="n">
        <v>51</v>
      </c>
      <c r="N3" s="2" t="n">
        <v>60</v>
      </c>
      <c r="O3" s="2" t="s">
        <v>20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n">
        <v>170</v>
      </c>
      <c r="E4" s="2" t="n">
        <f aca="false">F4+G4+H4</f>
        <v>152</v>
      </c>
      <c r="F4" s="2" t="n">
        <v>129</v>
      </c>
      <c r="G4" s="2" t="n">
        <v>23</v>
      </c>
      <c r="H4" s="2" t="n">
        <v>0</v>
      </c>
      <c r="I4" s="2" t="n">
        <v>38</v>
      </c>
      <c r="J4" s="3" t="n">
        <f aca="false">IF(D4=0,"",I4/D4)</f>
        <v>0.223529411764706</v>
      </c>
      <c r="K4" s="4" t="n">
        <f aca="false">IF(D4=0,"",E4/D4)</f>
        <v>0.894117647058824</v>
      </c>
      <c r="L4" s="2" t="n">
        <v>7</v>
      </c>
      <c r="M4" s="2" t="n">
        <v>60</v>
      </c>
      <c r="N4" s="2" t="n">
        <v>85</v>
      </c>
      <c r="O4" s="2"/>
    </row>
    <row r="5" customFormat="false" ht="15" hidden="false" customHeight="false" outlineLevel="0" collapsed="false">
      <c r="A5" s="2" t="s">
        <v>24</v>
      </c>
      <c r="B5" s="2" t="s">
        <v>25</v>
      </c>
      <c r="C5" s="2" t="s">
        <v>17</v>
      </c>
      <c r="D5" s="2" t="n">
        <v>149</v>
      </c>
      <c r="E5" s="2" t="n">
        <f aca="false">F5+G5+H5</f>
        <v>172</v>
      </c>
      <c r="F5" s="2" t="n">
        <v>149</v>
      </c>
      <c r="G5" s="2" t="n">
        <v>6</v>
      </c>
      <c r="H5" s="2" t="n">
        <v>17</v>
      </c>
      <c r="I5" s="2" t="n">
        <v>4</v>
      </c>
      <c r="J5" s="3" t="n">
        <f aca="false">IF(D5=0,"",I5/D5)</f>
        <v>0.0268456375838926</v>
      </c>
      <c r="K5" s="4" t="n">
        <f aca="false">IF(D5=0,"",E5/D5)</f>
        <v>1.15436241610738</v>
      </c>
      <c r="L5" s="2" t="n">
        <v>49</v>
      </c>
      <c r="M5" s="2" t="n">
        <v>79</v>
      </c>
      <c r="N5" s="2" t="n">
        <v>24</v>
      </c>
      <c r="O5" s="2"/>
    </row>
    <row r="6" customFormat="false" ht="15" hidden="false" customHeight="false" outlineLevel="0" collapsed="false">
      <c r="A6" s="2" t="s">
        <v>26</v>
      </c>
      <c r="B6" s="2" t="s">
        <v>27</v>
      </c>
      <c r="C6" s="2" t="s">
        <v>23</v>
      </c>
      <c r="D6" s="2" t="n">
        <v>126</v>
      </c>
      <c r="E6" s="2" t="n">
        <f aca="false">F6+G6+H6</f>
        <v>104</v>
      </c>
      <c r="F6" s="2" t="n">
        <v>76</v>
      </c>
      <c r="G6" s="2" t="n">
        <v>28</v>
      </c>
      <c r="H6" s="2" t="n">
        <v>0</v>
      </c>
      <c r="I6" s="2" t="n">
        <v>37</v>
      </c>
      <c r="J6" s="3" t="n">
        <f aca="false">IF(D6=0,"",I6/D6)</f>
        <v>0.293650793650794</v>
      </c>
      <c r="K6" s="4" t="n">
        <f aca="false">IF(D6=0,"",E6/D6)</f>
        <v>0.825396825396825</v>
      </c>
      <c r="L6" s="2" t="n">
        <v>20</v>
      </c>
      <c r="M6" s="2" t="n">
        <v>63</v>
      </c>
      <c r="N6" s="2" t="n">
        <v>21</v>
      </c>
      <c r="O6" s="2"/>
    </row>
    <row r="7" customFormat="false" ht="15" hidden="false" customHeight="false" outlineLevel="0" collapsed="false">
      <c r="A7" s="2" t="s">
        <v>28</v>
      </c>
      <c r="B7" s="2" t="s">
        <v>29</v>
      </c>
      <c r="C7" s="2" t="s">
        <v>23</v>
      </c>
      <c r="D7" s="2" t="n">
        <v>124</v>
      </c>
      <c r="E7" s="2" t="n">
        <f aca="false">F7+G7+H7</f>
        <v>212</v>
      </c>
      <c r="F7" s="2" t="n">
        <v>196</v>
      </c>
      <c r="G7" s="2" t="n">
        <v>16</v>
      </c>
      <c r="H7" s="2" t="n">
        <v>0</v>
      </c>
      <c r="I7" s="2" t="n">
        <v>25</v>
      </c>
      <c r="J7" s="3" t="n">
        <f aca="false">IF(D7=0,"",I7/D7)</f>
        <v>0.201612903225806</v>
      </c>
      <c r="K7" s="4" t="n">
        <f aca="false">IF(D7=0,"",E7/D7)</f>
        <v>1.70967741935484</v>
      </c>
      <c r="L7" s="2" t="n">
        <v>151</v>
      </c>
      <c r="M7" s="2" t="n">
        <v>34</v>
      </c>
      <c r="N7" s="2" t="n">
        <v>27</v>
      </c>
      <c r="O7" s="2"/>
    </row>
    <row r="8" customFormat="false" ht="15" hidden="false" customHeight="false" outlineLevel="0" collapsed="false">
      <c r="A8" s="2" t="s">
        <v>30</v>
      </c>
      <c r="B8" s="2" t="s">
        <v>31</v>
      </c>
      <c r="C8" s="2" t="s">
        <v>23</v>
      </c>
      <c r="D8" s="2" t="n">
        <v>109</v>
      </c>
      <c r="E8" s="2" t="n">
        <f aca="false">F8+G8+H8</f>
        <v>75</v>
      </c>
      <c r="F8" s="2" t="n">
        <v>60</v>
      </c>
      <c r="G8" s="2" t="n">
        <v>15</v>
      </c>
      <c r="H8" s="2" t="n">
        <v>0</v>
      </c>
      <c r="I8" s="2" t="n">
        <v>50</v>
      </c>
      <c r="J8" s="3" t="n">
        <f aca="false">IF(D8=0,"",I8/D8)</f>
        <v>0.458715596330275</v>
      </c>
      <c r="K8" s="4" t="n">
        <f aca="false">IF(D8=0,"",E8/D8)</f>
        <v>0.688073394495413</v>
      </c>
      <c r="L8" s="2" t="n">
        <v>12</v>
      </c>
      <c r="M8" s="2" t="n">
        <v>22</v>
      </c>
      <c r="N8" s="2" t="n">
        <v>41</v>
      </c>
      <c r="O8" s="2"/>
    </row>
    <row r="9" customFormat="false" ht="15" hidden="false" customHeight="false" outlineLevel="0" collapsed="false">
      <c r="A9" s="2" t="s">
        <v>32</v>
      </c>
      <c r="B9" s="2" t="s">
        <v>33</v>
      </c>
      <c r="C9" s="2" t="s">
        <v>17</v>
      </c>
      <c r="D9" s="2" t="n">
        <v>103</v>
      </c>
      <c r="E9" s="2" t="n">
        <f aca="false">F9+G9+H9</f>
        <v>126</v>
      </c>
      <c r="F9" s="2" t="n">
        <v>97</v>
      </c>
      <c r="G9" s="2" t="n">
        <v>29</v>
      </c>
      <c r="H9" s="2" t="n">
        <v>0</v>
      </c>
      <c r="I9" s="2" t="n">
        <v>16</v>
      </c>
      <c r="J9" s="3" t="n">
        <f aca="false">IF(D9=0,"",I9/D9)</f>
        <v>0.155339805825243</v>
      </c>
      <c r="K9" s="4" t="n">
        <f aca="false">IF(D9=0,"",E9/D9)</f>
        <v>1.22330097087379</v>
      </c>
      <c r="L9" s="2" t="n">
        <v>36</v>
      </c>
      <c r="M9" s="2" t="n">
        <v>59</v>
      </c>
      <c r="N9" s="2" t="n">
        <v>31</v>
      </c>
      <c r="O9" s="2"/>
    </row>
    <row r="10" customFormat="false" ht="15" hidden="false" customHeight="false" outlineLevel="0" collapsed="false">
      <c r="A10" s="2" t="s">
        <v>34</v>
      </c>
      <c r="B10" s="2" t="s">
        <v>35</v>
      </c>
      <c r="C10" s="2" t="s">
        <v>23</v>
      </c>
      <c r="D10" s="2" t="n">
        <v>98</v>
      </c>
      <c r="E10" s="2" t="n">
        <f aca="false">F10+G10+H10</f>
        <v>61</v>
      </c>
      <c r="F10" s="2" t="n">
        <v>49</v>
      </c>
      <c r="G10" s="2" t="n">
        <v>12</v>
      </c>
      <c r="H10" s="2" t="n">
        <v>0</v>
      </c>
      <c r="I10" s="2" t="n">
        <v>37</v>
      </c>
      <c r="J10" s="3" t="n">
        <f aca="false">IF(D10=0,"",I10/D10)</f>
        <v>0.377551020408163</v>
      </c>
      <c r="K10" s="4" t="n">
        <f aca="false">IF(D10=0,"",E10/D10)</f>
        <v>0.622448979591837</v>
      </c>
      <c r="L10" s="2" t="n">
        <v>15</v>
      </c>
      <c r="M10" s="2" t="n">
        <v>20</v>
      </c>
      <c r="N10" s="2" t="n">
        <v>26</v>
      </c>
      <c r="O10" s="2"/>
    </row>
    <row r="11" customFormat="false" ht="15" hidden="false" customHeight="false" outlineLevel="0" collapsed="false">
      <c r="A11" s="2" t="s">
        <v>36</v>
      </c>
      <c r="B11" s="2" t="s">
        <v>37</v>
      </c>
      <c r="C11" s="2" t="s">
        <v>38</v>
      </c>
      <c r="D11" s="2" t="n">
        <v>97</v>
      </c>
      <c r="E11" s="2" t="n">
        <f aca="false">F11+G11+H11</f>
        <v>103</v>
      </c>
      <c r="F11" s="2" t="n">
        <v>78</v>
      </c>
      <c r="G11" s="2" t="n">
        <v>25</v>
      </c>
      <c r="H11" s="2" t="n">
        <v>0</v>
      </c>
      <c r="I11" s="2" t="n">
        <v>18</v>
      </c>
      <c r="J11" s="3" t="n">
        <f aca="false">IF(D11=0,"",I11/D11)</f>
        <v>0.185567010309278</v>
      </c>
      <c r="K11" s="4" t="n">
        <f aca="false">IF(D11=0,"",E11/D11)</f>
        <v>1.06185567010309</v>
      </c>
      <c r="L11" s="2" t="n">
        <v>25</v>
      </c>
      <c r="M11" s="2" t="n">
        <v>60</v>
      </c>
      <c r="N11" s="2" t="n">
        <v>18</v>
      </c>
      <c r="O11" s="2"/>
    </row>
    <row r="12" customFormat="false" ht="15" hidden="false" customHeight="false" outlineLevel="0" collapsed="false">
      <c r="A12" s="2" t="s">
        <v>39</v>
      </c>
      <c r="B12" s="2" t="s">
        <v>40</v>
      </c>
      <c r="C12" s="2" t="s">
        <v>41</v>
      </c>
      <c r="D12" s="2" t="n">
        <v>77</v>
      </c>
      <c r="E12" s="2" t="n">
        <f aca="false">F12+G12+H12</f>
        <v>266</v>
      </c>
      <c r="F12" s="2" t="n">
        <v>36</v>
      </c>
      <c r="G12" s="2" t="n">
        <v>57</v>
      </c>
      <c r="H12" s="2" t="n">
        <v>173</v>
      </c>
      <c r="I12" s="2" t="n">
        <v>35</v>
      </c>
      <c r="J12" s="3" t="n">
        <f aca="false">IF(D12=0,"",I12/D12)</f>
        <v>0.454545454545455</v>
      </c>
      <c r="K12" s="4" t="n">
        <f aca="false">IF(D12=0,"",E12/D12)</f>
        <v>3.45454545454545</v>
      </c>
      <c r="L12" s="2" t="n">
        <v>39</v>
      </c>
      <c r="M12" s="2" t="n">
        <v>48</v>
      </c>
      <c r="N12" s="2" t="n">
        <v>6</v>
      </c>
      <c r="O12" s="2" t="s">
        <v>42</v>
      </c>
    </row>
    <row r="13" customFormat="false" ht="15" hidden="false" customHeight="false" outlineLevel="0" collapsed="false">
      <c r="A13" s="2" t="s">
        <v>43</v>
      </c>
      <c r="B13" s="2" t="s">
        <v>44</v>
      </c>
      <c r="C13" s="2" t="s">
        <v>23</v>
      </c>
      <c r="D13" s="2" t="n">
        <v>77</v>
      </c>
      <c r="E13" s="2" t="n">
        <f aca="false">F13+G13+H13</f>
        <v>77</v>
      </c>
      <c r="F13" s="2" t="n">
        <v>45</v>
      </c>
      <c r="G13" s="2" t="n">
        <v>30</v>
      </c>
      <c r="H13" s="2" t="n">
        <v>2</v>
      </c>
      <c r="I13" s="2" t="n">
        <v>11</v>
      </c>
      <c r="J13" s="3" t="n">
        <f aca="false">IF(D13=0,"",I13/D13)</f>
        <v>0.142857142857143</v>
      </c>
      <c r="K13" s="4" t="n">
        <f aca="false">IF(D13=0,"",E13/D13)</f>
        <v>1</v>
      </c>
      <c r="L13" s="2" t="n">
        <v>35</v>
      </c>
      <c r="M13" s="2" t="n">
        <v>35</v>
      </c>
      <c r="N13" s="2" t="n">
        <v>5</v>
      </c>
      <c r="O13" s="2"/>
    </row>
    <row r="14" customFormat="false" ht="15" hidden="false" customHeight="false" outlineLevel="0" collapsed="false">
      <c r="A14" s="2" t="s">
        <v>45</v>
      </c>
      <c r="B14" s="2" t="s">
        <v>46</v>
      </c>
      <c r="C14" s="2" t="s">
        <v>38</v>
      </c>
      <c r="D14" s="2" t="n">
        <v>63</v>
      </c>
      <c r="E14" s="2" t="n">
        <f aca="false">F14+G14+H14</f>
        <v>61</v>
      </c>
      <c r="F14" s="2" t="n">
        <v>51</v>
      </c>
      <c r="G14" s="2" t="n">
        <v>9</v>
      </c>
      <c r="H14" s="2" t="n">
        <v>1</v>
      </c>
      <c r="I14" s="2" t="n">
        <v>19</v>
      </c>
      <c r="J14" s="3" t="n">
        <f aca="false">IF(D14=0,"",I14/D14)</f>
        <v>0.301587301587302</v>
      </c>
      <c r="K14" s="4" t="n">
        <f aca="false">IF(D14=0,"",E14/D14)</f>
        <v>0.968253968253968</v>
      </c>
      <c r="L14" s="2" t="n">
        <v>16</v>
      </c>
      <c r="M14" s="2" t="n">
        <v>36</v>
      </c>
      <c r="N14" s="2" t="n">
        <v>8</v>
      </c>
      <c r="O14" s="2"/>
    </row>
    <row r="15" customFormat="false" ht="15" hidden="false" customHeight="false" outlineLevel="0" collapsed="false">
      <c r="A15" s="2" t="s">
        <v>47</v>
      </c>
      <c r="B15" s="2" t="s">
        <v>48</v>
      </c>
      <c r="C15" s="2" t="s">
        <v>23</v>
      </c>
      <c r="D15" s="2" t="n">
        <v>62</v>
      </c>
      <c r="E15" s="2" t="n">
        <f aca="false">F15+G15+H15</f>
        <v>56</v>
      </c>
      <c r="F15" s="2" t="n">
        <v>45</v>
      </c>
      <c r="G15" s="2" t="n">
        <v>11</v>
      </c>
      <c r="H15" s="2" t="n">
        <v>0</v>
      </c>
      <c r="I15" s="2" t="n">
        <v>14</v>
      </c>
      <c r="J15" s="3" t="n">
        <f aca="false">IF(D15=0,"",I15/D15)</f>
        <v>0.225806451612903</v>
      </c>
      <c r="K15" s="4" t="n">
        <f aca="false">IF(D15=0,"",E15/D15)</f>
        <v>0.903225806451613</v>
      </c>
      <c r="L15" s="2" t="n">
        <v>21</v>
      </c>
      <c r="M15" s="2" t="n">
        <v>27</v>
      </c>
      <c r="N15" s="2" t="n">
        <v>8</v>
      </c>
      <c r="O15" s="2"/>
    </row>
    <row r="16" customFormat="false" ht="15" hidden="false" customHeight="false" outlineLevel="0" collapsed="false">
      <c r="A16" s="2" t="s">
        <v>49</v>
      </c>
      <c r="B16" s="2" t="s">
        <v>50</v>
      </c>
      <c r="C16" s="2" t="s">
        <v>51</v>
      </c>
      <c r="D16" s="2" t="n">
        <v>60</v>
      </c>
      <c r="E16" s="2" t="n">
        <f aca="false">F16+G16+H16</f>
        <v>10</v>
      </c>
      <c r="F16" s="2" t="n">
        <v>2</v>
      </c>
      <c r="G16" s="2" t="n">
        <v>8</v>
      </c>
      <c r="H16" s="2" t="n">
        <v>0</v>
      </c>
      <c r="I16" s="2" t="n">
        <v>51</v>
      </c>
      <c r="J16" s="3" t="n">
        <f aca="false">IF(D16=0,"",I16/D16)</f>
        <v>0.85</v>
      </c>
      <c r="K16" s="4" t="n">
        <f aca="false">IF(D16=0,"",E16/D16)</f>
        <v>0.166666666666667</v>
      </c>
      <c r="L16" s="2" t="n">
        <v>4</v>
      </c>
      <c r="M16" s="2" t="n">
        <v>4</v>
      </c>
      <c r="N16" s="2" t="n">
        <v>2</v>
      </c>
      <c r="O16" s="2"/>
    </row>
    <row r="17" customFormat="false" ht="15" hidden="false" customHeight="false" outlineLevel="0" collapsed="false">
      <c r="A17" s="2" t="s">
        <v>52</v>
      </c>
      <c r="B17" s="2" t="s">
        <v>53</v>
      </c>
      <c r="C17" s="2" t="s">
        <v>41</v>
      </c>
      <c r="D17" s="2" t="n">
        <v>56</v>
      </c>
      <c r="E17" s="2" t="n">
        <f aca="false">F17+G17+H17</f>
        <v>89</v>
      </c>
      <c r="F17" s="2" t="n">
        <v>74</v>
      </c>
      <c r="G17" s="2" t="n">
        <v>15</v>
      </c>
      <c r="H17" s="2" t="n">
        <v>0</v>
      </c>
      <c r="I17" s="2" t="n">
        <v>1</v>
      </c>
      <c r="J17" s="3" t="n">
        <f aca="false">IF(D17=0,"",I17/D17)</f>
        <v>0.0178571428571429</v>
      </c>
      <c r="K17" s="4" t="n">
        <f aca="false">IF(D17=0,"",E17/D17)</f>
        <v>1.58928571428571</v>
      </c>
      <c r="L17" s="2" t="n">
        <v>69</v>
      </c>
      <c r="M17" s="2" t="n">
        <v>17</v>
      </c>
      <c r="N17" s="2" t="n">
        <v>3</v>
      </c>
      <c r="O17" s="2"/>
    </row>
    <row r="18" customFormat="false" ht="15" hidden="false" customHeight="false" outlineLevel="0" collapsed="false">
      <c r="A18" s="2" t="s">
        <v>54</v>
      </c>
      <c r="B18" s="2" t="s">
        <v>55</v>
      </c>
      <c r="C18" s="2" t="s">
        <v>38</v>
      </c>
      <c r="D18" s="2" t="n">
        <v>53</v>
      </c>
      <c r="E18" s="2" t="n">
        <f aca="false">F18+G18+H18</f>
        <v>28</v>
      </c>
      <c r="F18" s="2" t="n">
        <v>20</v>
      </c>
      <c r="G18" s="2" t="n">
        <v>8</v>
      </c>
      <c r="H18" s="2" t="n">
        <v>0</v>
      </c>
      <c r="I18" s="2" t="n">
        <v>23</v>
      </c>
      <c r="J18" s="3" t="n">
        <f aca="false">IF(D18=0,"",I18/D18)</f>
        <v>0.433962264150943</v>
      </c>
      <c r="K18" s="4" t="n">
        <f aca="false">IF(D18=0,"",E18/D18)</f>
        <v>0.528301886792453</v>
      </c>
      <c r="L18" s="2" t="n">
        <v>9</v>
      </c>
      <c r="M18" s="2" t="n">
        <v>15</v>
      </c>
      <c r="N18" s="2" t="n">
        <v>4</v>
      </c>
      <c r="O18" s="2"/>
    </row>
    <row r="19" customFormat="false" ht="15" hidden="false" customHeight="false" outlineLevel="0" collapsed="false">
      <c r="A19" s="2" t="s">
        <v>56</v>
      </c>
      <c r="B19" s="2" t="s">
        <v>57</v>
      </c>
      <c r="C19" s="2" t="s">
        <v>38</v>
      </c>
      <c r="D19" s="2" t="n">
        <v>52</v>
      </c>
      <c r="E19" s="2" t="n">
        <f aca="false">F19+G19+H19</f>
        <v>25</v>
      </c>
      <c r="F19" s="2" t="n">
        <v>19</v>
      </c>
      <c r="G19" s="2" t="n">
        <v>6</v>
      </c>
      <c r="H19" s="2" t="n">
        <v>0</v>
      </c>
      <c r="I19" s="2" t="n">
        <v>25</v>
      </c>
      <c r="J19" s="3" t="n">
        <f aca="false">IF(D19=0,"",I19/D19)</f>
        <v>0.480769230769231</v>
      </c>
      <c r="K19" s="4" t="n">
        <f aca="false">IF(D19=0,"",E19/D19)</f>
        <v>0.480769230769231</v>
      </c>
      <c r="L19" s="2" t="n">
        <v>12</v>
      </c>
      <c r="M19" s="2" t="n">
        <v>12</v>
      </c>
      <c r="N19" s="2" t="n">
        <v>1</v>
      </c>
      <c r="O19" s="2"/>
    </row>
    <row r="20" customFormat="false" ht="15" hidden="false" customHeight="false" outlineLevel="0" collapsed="false">
      <c r="A20" s="2" t="s">
        <v>58</v>
      </c>
      <c r="B20" s="2" t="s">
        <v>59</v>
      </c>
      <c r="C20" s="2" t="s">
        <v>23</v>
      </c>
      <c r="D20" s="2" t="n">
        <v>51</v>
      </c>
      <c r="E20" s="2" t="n">
        <f aca="false">F20+G20+H20</f>
        <v>41</v>
      </c>
      <c r="F20" s="2" t="n">
        <v>23</v>
      </c>
      <c r="G20" s="2" t="n">
        <v>18</v>
      </c>
      <c r="H20" s="2" t="n">
        <v>0</v>
      </c>
      <c r="I20" s="2" t="n">
        <v>15</v>
      </c>
      <c r="J20" s="3" t="n">
        <f aca="false">IF(D20=0,"",I20/D20)</f>
        <v>0.294117647058824</v>
      </c>
      <c r="K20" s="4" t="n">
        <f aca="false">IF(D20=0,"",E20/D20)</f>
        <v>0.803921568627451</v>
      </c>
      <c r="L20" s="2" t="n">
        <v>10</v>
      </c>
      <c r="M20" s="2" t="n">
        <v>26</v>
      </c>
      <c r="N20" s="2" t="n">
        <v>5</v>
      </c>
      <c r="O20" s="2"/>
    </row>
    <row r="21" customFormat="false" ht="15" hidden="false" customHeight="false" outlineLevel="0" collapsed="false">
      <c r="A21" s="2" t="s">
        <v>60</v>
      </c>
      <c r="B21" s="2" t="s">
        <v>61</v>
      </c>
      <c r="C21" s="2" t="s">
        <v>38</v>
      </c>
      <c r="D21" s="2" t="n">
        <v>50</v>
      </c>
      <c r="E21" s="2" t="n">
        <f aca="false">F21+G21+H21</f>
        <v>34</v>
      </c>
      <c r="F21" s="2" t="n">
        <v>27</v>
      </c>
      <c r="G21" s="2" t="n">
        <v>6</v>
      </c>
      <c r="H21" s="2" t="n">
        <v>1</v>
      </c>
      <c r="I21" s="2" t="n">
        <v>12</v>
      </c>
      <c r="J21" s="3" t="n">
        <f aca="false">IF(D21=0,"",I21/D21)</f>
        <v>0.24</v>
      </c>
      <c r="K21" s="4" t="n">
        <f aca="false">IF(D21=0,"",E21/D21)</f>
        <v>0.68</v>
      </c>
      <c r="L21" s="2" t="n">
        <v>3</v>
      </c>
      <c r="M21" s="2" t="n">
        <v>14</v>
      </c>
      <c r="N21" s="2" t="n">
        <v>16</v>
      </c>
      <c r="O21" s="2"/>
    </row>
    <row r="22" customFormat="false" ht="15" hidden="false" customHeight="false" outlineLevel="0" collapsed="false">
      <c r="A22" s="2" t="s">
        <v>62</v>
      </c>
      <c r="B22" s="2" t="s">
        <v>63</v>
      </c>
      <c r="C22" s="2" t="s">
        <v>41</v>
      </c>
      <c r="D22" s="2" t="n">
        <v>47</v>
      </c>
      <c r="E22" s="2" t="n">
        <f aca="false">F22+G22+H22</f>
        <v>50</v>
      </c>
      <c r="F22" s="2" t="n">
        <v>41</v>
      </c>
      <c r="G22" s="2" t="n">
        <v>9</v>
      </c>
      <c r="H22" s="2" t="n">
        <v>0</v>
      </c>
      <c r="I22" s="2" t="n">
        <v>0</v>
      </c>
      <c r="J22" s="3" t="n">
        <f aca="false">IF(D22=0,"",I22/D22)</f>
        <v>0</v>
      </c>
      <c r="K22" s="4" t="n">
        <f aca="false">IF(D22=0,"",E22/D22)</f>
        <v>1.06382978723404</v>
      </c>
      <c r="L22" s="2" t="n">
        <v>42</v>
      </c>
      <c r="M22" s="2" t="n">
        <v>8</v>
      </c>
      <c r="N22" s="2" t="n">
        <v>0</v>
      </c>
      <c r="O22" s="2"/>
    </row>
    <row r="23" customFormat="false" ht="15" hidden="false" customHeight="false" outlineLevel="0" collapsed="false">
      <c r="A23" s="2" t="s">
        <v>64</v>
      </c>
      <c r="B23" s="2" t="s">
        <v>65</v>
      </c>
      <c r="C23" s="2" t="s">
        <v>38</v>
      </c>
      <c r="D23" s="2" t="n">
        <v>46</v>
      </c>
      <c r="E23" s="2" t="n">
        <f aca="false">F23+G23+H23</f>
        <v>29</v>
      </c>
      <c r="F23" s="2" t="n">
        <v>20</v>
      </c>
      <c r="G23" s="2" t="n">
        <v>9</v>
      </c>
      <c r="H23" s="2" t="n">
        <v>0</v>
      </c>
      <c r="I23" s="2" t="n">
        <v>19</v>
      </c>
      <c r="J23" s="3" t="n">
        <f aca="false">IF(D23=0,"",I23/D23)</f>
        <v>0.41304347826087</v>
      </c>
      <c r="K23" s="4" t="n">
        <f aca="false">IF(D23=0,"",E23/D23)</f>
        <v>0.630434782608696</v>
      </c>
      <c r="L23" s="2" t="n">
        <v>5</v>
      </c>
      <c r="M23" s="2" t="n">
        <v>21</v>
      </c>
      <c r="N23" s="2" t="n">
        <v>3</v>
      </c>
      <c r="O23" s="2"/>
    </row>
    <row r="24" customFormat="false" ht="15" hidden="false" customHeight="false" outlineLevel="0" collapsed="false">
      <c r="A24" s="2" t="s">
        <v>66</v>
      </c>
      <c r="B24" s="2" t="s">
        <v>67</v>
      </c>
      <c r="C24" s="2" t="s">
        <v>38</v>
      </c>
      <c r="D24" s="2" t="n">
        <v>46</v>
      </c>
      <c r="E24" s="2" t="n">
        <f aca="false">F24+G24+H24</f>
        <v>20</v>
      </c>
      <c r="F24" s="2" t="n">
        <v>14</v>
      </c>
      <c r="G24" s="2" t="n">
        <v>6</v>
      </c>
      <c r="H24" s="2" t="n">
        <v>0</v>
      </c>
      <c r="I24" s="2" t="n">
        <v>23</v>
      </c>
      <c r="J24" s="3" t="n">
        <f aca="false">IF(D24=0,"",I24/D24)</f>
        <v>0.5</v>
      </c>
      <c r="K24" s="4" t="n">
        <f aca="false">IF(D24=0,"",E24/D24)</f>
        <v>0.434782608695652</v>
      </c>
      <c r="L24" s="2" t="n">
        <v>11</v>
      </c>
      <c r="M24" s="2" t="n">
        <v>9</v>
      </c>
      <c r="N24" s="2" t="n">
        <v>0</v>
      </c>
      <c r="O24" s="2"/>
    </row>
    <row r="25" customFormat="false" ht="15" hidden="false" customHeight="false" outlineLevel="0" collapsed="false">
      <c r="A25" s="2" t="s">
        <v>68</v>
      </c>
      <c r="B25" s="2" t="s">
        <v>69</v>
      </c>
      <c r="C25" s="2" t="s">
        <v>23</v>
      </c>
      <c r="D25" s="2" t="n">
        <v>45</v>
      </c>
      <c r="E25" s="2" t="n">
        <f aca="false">F25+G25+H25</f>
        <v>23</v>
      </c>
      <c r="F25" s="2" t="n">
        <v>8</v>
      </c>
      <c r="G25" s="2" t="n">
        <v>15</v>
      </c>
      <c r="H25" s="2" t="n">
        <v>0</v>
      </c>
      <c r="I25" s="2" t="n">
        <v>25</v>
      </c>
      <c r="J25" s="3" t="n">
        <f aca="false">IF(D25=0,"",I25/D25)</f>
        <v>0.555555555555556</v>
      </c>
      <c r="K25" s="4" t="n">
        <f aca="false">IF(D25=0,"",E25/D25)</f>
        <v>0.511111111111111</v>
      </c>
      <c r="L25" s="2" t="n">
        <v>3</v>
      </c>
      <c r="M25" s="2" t="n">
        <v>17</v>
      </c>
      <c r="N25" s="2" t="n">
        <v>3</v>
      </c>
      <c r="O25" s="2"/>
    </row>
    <row r="26" customFormat="false" ht="15" hidden="false" customHeight="false" outlineLevel="0" collapsed="false">
      <c r="A26" s="2" t="s">
        <v>70</v>
      </c>
      <c r="B26" s="2" t="s">
        <v>71</v>
      </c>
      <c r="C26" s="2" t="s">
        <v>51</v>
      </c>
      <c r="D26" s="2" t="n">
        <v>41</v>
      </c>
      <c r="E26" s="2" t="n">
        <f aca="false">F26+G26+H26</f>
        <v>23</v>
      </c>
      <c r="F26" s="2" t="n">
        <v>16</v>
      </c>
      <c r="G26" s="2" t="n">
        <v>5</v>
      </c>
      <c r="H26" s="2" t="n">
        <v>2</v>
      </c>
      <c r="I26" s="2" t="n">
        <v>21</v>
      </c>
      <c r="J26" s="3" t="n">
        <f aca="false">IF(D26=0,"",I26/D26)</f>
        <v>0.51219512195122</v>
      </c>
      <c r="K26" s="4" t="n">
        <f aca="false">IF(D26=0,"",E26/D26)</f>
        <v>0.560975609756098</v>
      </c>
      <c r="L26" s="2" t="n">
        <v>2</v>
      </c>
      <c r="M26" s="2" t="n">
        <v>7</v>
      </c>
      <c r="N26" s="2" t="n">
        <v>12</v>
      </c>
      <c r="O26" s="2"/>
    </row>
    <row r="27" customFormat="false" ht="15" hidden="false" customHeight="false" outlineLevel="0" collapsed="false">
      <c r="A27" s="2" t="s">
        <v>72</v>
      </c>
      <c r="B27" s="2" t="s">
        <v>73</v>
      </c>
      <c r="C27" s="2" t="s">
        <v>38</v>
      </c>
      <c r="D27" s="2" t="n">
        <v>39</v>
      </c>
      <c r="E27" s="2" t="n">
        <f aca="false">F27+G27+H27</f>
        <v>25</v>
      </c>
      <c r="F27" s="2" t="n">
        <v>18</v>
      </c>
      <c r="G27" s="2" t="n">
        <v>6</v>
      </c>
      <c r="H27" s="2" t="n">
        <v>1</v>
      </c>
      <c r="I27" s="2" t="n">
        <v>13</v>
      </c>
      <c r="J27" s="3" t="n">
        <f aca="false">IF(D27=0,"",I27/D27)</f>
        <v>0.333333333333333</v>
      </c>
      <c r="K27" s="4" t="n">
        <f aca="false">IF(D27=0,"",E27/D27)</f>
        <v>0.641025641025641</v>
      </c>
      <c r="L27" s="2" t="n">
        <v>4</v>
      </c>
      <c r="M27" s="2" t="n">
        <v>6</v>
      </c>
      <c r="N27" s="2" t="n">
        <v>14</v>
      </c>
      <c r="O27" s="2"/>
    </row>
    <row r="28" customFormat="false" ht="15" hidden="false" customHeight="false" outlineLevel="0" collapsed="false">
      <c r="A28" s="2" t="s">
        <v>74</v>
      </c>
      <c r="B28" s="2" t="s">
        <v>75</v>
      </c>
      <c r="C28" s="2" t="s">
        <v>23</v>
      </c>
      <c r="D28" s="2" t="n">
        <v>38</v>
      </c>
      <c r="E28" s="2" t="n">
        <f aca="false">F28+G28+H28</f>
        <v>13</v>
      </c>
      <c r="F28" s="2" t="n">
        <v>4</v>
      </c>
      <c r="G28" s="2" t="n">
        <v>9</v>
      </c>
      <c r="H28" s="2" t="n">
        <v>0</v>
      </c>
      <c r="I28" s="2" t="n">
        <v>30</v>
      </c>
      <c r="J28" s="3" t="n">
        <f aca="false">IF(D28=0,"",I28/D28)</f>
        <v>0.789473684210526</v>
      </c>
      <c r="K28" s="4" t="n">
        <f aca="false">IF(D28=0,"",E28/D28)</f>
        <v>0.342105263157895</v>
      </c>
      <c r="L28" s="2" t="n">
        <v>7</v>
      </c>
      <c r="M28" s="2" t="n">
        <v>6</v>
      </c>
      <c r="N28" s="2" t="n">
        <v>0</v>
      </c>
      <c r="O28" s="2"/>
    </row>
    <row r="29" customFormat="false" ht="15" hidden="false" customHeight="false" outlineLevel="0" collapsed="false">
      <c r="A29" s="2" t="s">
        <v>76</v>
      </c>
      <c r="B29" s="2" t="s">
        <v>77</v>
      </c>
      <c r="C29" s="2" t="s">
        <v>38</v>
      </c>
      <c r="D29" s="2" t="n">
        <v>37</v>
      </c>
      <c r="E29" s="2" t="n">
        <f aca="false">F29+G29+H29</f>
        <v>26</v>
      </c>
      <c r="F29" s="2" t="n">
        <v>18</v>
      </c>
      <c r="G29" s="2" t="n">
        <v>8</v>
      </c>
      <c r="H29" s="2" t="n">
        <v>0</v>
      </c>
      <c r="I29" s="2" t="n">
        <v>12</v>
      </c>
      <c r="J29" s="3" t="n">
        <f aca="false">IF(D29=0,"",I29/D29)</f>
        <v>0.324324324324324</v>
      </c>
      <c r="K29" s="4" t="n">
        <f aca="false">IF(D29=0,"",E29/D29)</f>
        <v>0.702702702702703</v>
      </c>
      <c r="L29" s="2" t="n">
        <v>9</v>
      </c>
      <c r="M29" s="2" t="n">
        <v>9</v>
      </c>
      <c r="N29" s="2" t="n">
        <v>8</v>
      </c>
      <c r="O29" s="2"/>
    </row>
    <row r="30" customFormat="false" ht="15" hidden="false" customHeight="false" outlineLevel="0" collapsed="false">
      <c r="A30" s="2" t="s">
        <v>78</v>
      </c>
      <c r="B30" s="2" t="s">
        <v>79</v>
      </c>
      <c r="C30" s="2" t="s">
        <v>38</v>
      </c>
      <c r="D30" s="2" t="n">
        <v>37</v>
      </c>
      <c r="E30" s="2" t="n">
        <f aca="false">F30+G30+H30</f>
        <v>14</v>
      </c>
      <c r="F30" s="2" t="n">
        <v>11</v>
      </c>
      <c r="G30" s="2" t="n">
        <v>3</v>
      </c>
      <c r="H30" s="2" t="n">
        <v>0</v>
      </c>
      <c r="I30" s="2" t="n">
        <v>21</v>
      </c>
      <c r="J30" s="3" t="n">
        <f aca="false">IF(D30=0,"",I30/D30)</f>
        <v>0.567567567567568</v>
      </c>
      <c r="K30" s="4" t="n">
        <f aca="false">IF(D30=0,"",E30/D30)</f>
        <v>0.378378378378378</v>
      </c>
      <c r="L30" s="2" t="n">
        <v>7</v>
      </c>
      <c r="M30" s="2" t="n">
        <v>7</v>
      </c>
      <c r="N30" s="2" t="n">
        <v>0</v>
      </c>
      <c r="O30" s="2"/>
    </row>
    <row r="31" customFormat="false" ht="15" hidden="false" customHeight="false" outlineLevel="0" collapsed="false">
      <c r="A31" s="2" t="s">
        <v>80</v>
      </c>
      <c r="B31" s="2" t="s">
        <v>81</v>
      </c>
      <c r="C31" s="2" t="s">
        <v>38</v>
      </c>
      <c r="D31" s="2" t="n">
        <v>36</v>
      </c>
      <c r="E31" s="2" t="n">
        <f aca="false">F31+G31+H31</f>
        <v>25</v>
      </c>
      <c r="F31" s="2" t="n">
        <v>17</v>
      </c>
      <c r="G31" s="2" t="n">
        <v>8</v>
      </c>
      <c r="H31" s="2" t="n">
        <v>0</v>
      </c>
      <c r="I31" s="2" t="n">
        <v>11</v>
      </c>
      <c r="J31" s="3" t="n">
        <f aca="false">IF(D31=0,"",I31/D31)</f>
        <v>0.305555555555556</v>
      </c>
      <c r="K31" s="4" t="n">
        <f aca="false">IF(D31=0,"",E31/D31)</f>
        <v>0.694444444444444</v>
      </c>
      <c r="L31" s="2" t="n">
        <v>7</v>
      </c>
      <c r="M31" s="2" t="n">
        <v>12</v>
      </c>
      <c r="N31" s="2" t="n">
        <v>6</v>
      </c>
      <c r="O31" s="2"/>
    </row>
    <row r="32" customFormat="false" ht="15" hidden="false" customHeight="false" outlineLevel="0" collapsed="false">
      <c r="A32" s="2" t="s">
        <v>82</v>
      </c>
      <c r="B32" s="2" t="s">
        <v>83</v>
      </c>
      <c r="C32" s="2" t="s">
        <v>41</v>
      </c>
      <c r="D32" s="2" t="n">
        <v>34</v>
      </c>
      <c r="E32" s="2" t="n">
        <f aca="false">F32+G32+H32</f>
        <v>26</v>
      </c>
      <c r="F32" s="2" t="n">
        <v>5</v>
      </c>
      <c r="G32" s="2" t="n">
        <v>21</v>
      </c>
      <c r="H32" s="2" t="n">
        <v>0</v>
      </c>
      <c r="I32" s="2" t="n">
        <v>11</v>
      </c>
      <c r="J32" s="3" t="n">
        <f aca="false">IF(D32=0,"",I32/D32)</f>
        <v>0.323529411764706</v>
      </c>
      <c r="K32" s="4" t="n">
        <f aca="false">IF(D32=0,"",E32/D32)</f>
        <v>0.764705882352941</v>
      </c>
      <c r="L32" s="2" t="n">
        <v>16</v>
      </c>
      <c r="M32" s="2" t="n">
        <v>8</v>
      </c>
      <c r="N32" s="2" t="n">
        <v>2</v>
      </c>
      <c r="O32" s="2"/>
    </row>
    <row r="33" customFormat="false" ht="15" hidden="false" customHeight="false" outlineLevel="0" collapsed="false">
      <c r="A33" s="2" t="s">
        <v>84</v>
      </c>
      <c r="B33" s="2" t="s">
        <v>85</v>
      </c>
      <c r="C33" s="2" t="s">
        <v>86</v>
      </c>
      <c r="D33" s="2" t="n">
        <v>33</v>
      </c>
      <c r="E33" s="2" t="n">
        <f aca="false">F33+G33+H33</f>
        <v>43</v>
      </c>
      <c r="F33" s="2" t="n">
        <v>38</v>
      </c>
      <c r="G33" s="2" t="n">
        <v>5</v>
      </c>
      <c r="H33" s="2" t="n">
        <v>0</v>
      </c>
      <c r="I33" s="2" t="n">
        <v>5</v>
      </c>
      <c r="J33" s="3" t="n">
        <f aca="false">IF(D33=0,"",I33/D33)</f>
        <v>0.151515151515152</v>
      </c>
      <c r="K33" s="4" t="n">
        <f aca="false">IF(D33=0,"",E33/D33)</f>
        <v>1.3030303030303</v>
      </c>
      <c r="L33" s="2" t="n">
        <v>23</v>
      </c>
      <c r="M33" s="2" t="n">
        <v>16</v>
      </c>
      <c r="N33" s="2" t="n">
        <v>4</v>
      </c>
      <c r="O33" s="2"/>
    </row>
    <row r="34" customFormat="false" ht="15" hidden="false" customHeight="false" outlineLevel="0" collapsed="false">
      <c r="A34" s="2" t="s">
        <v>87</v>
      </c>
      <c r="B34" s="2" t="s">
        <v>88</v>
      </c>
      <c r="C34" s="2" t="s">
        <v>86</v>
      </c>
      <c r="D34" s="2" t="n">
        <v>31</v>
      </c>
      <c r="E34" s="2" t="n">
        <f aca="false">F34+G34+H34</f>
        <v>34</v>
      </c>
      <c r="F34" s="2" t="n">
        <v>27</v>
      </c>
      <c r="G34" s="2" t="n">
        <v>7</v>
      </c>
      <c r="H34" s="2" t="n">
        <v>0</v>
      </c>
      <c r="I34" s="2" t="n">
        <v>1</v>
      </c>
      <c r="J34" s="3" t="n">
        <f aca="false">IF(D34=0,"",I34/D34)</f>
        <v>0.032258064516129</v>
      </c>
      <c r="K34" s="4" t="n">
        <f aca="false">IF(D34=0,"",E34/D34)</f>
        <v>1.09677419354839</v>
      </c>
      <c r="L34" s="2" t="n">
        <v>22</v>
      </c>
      <c r="M34" s="2" t="n">
        <v>10</v>
      </c>
      <c r="N34" s="2" t="n">
        <v>2</v>
      </c>
      <c r="O34" s="2"/>
    </row>
    <row r="35" customFormat="false" ht="15" hidden="false" customHeight="false" outlineLevel="0" collapsed="false">
      <c r="A35" s="2" t="s">
        <v>89</v>
      </c>
      <c r="B35" s="2" t="s">
        <v>90</v>
      </c>
      <c r="C35" s="2" t="s">
        <v>91</v>
      </c>
      <c r="D35" s="2" t="n">
        <v>30</v>
      </c>
      <c r="E35" s="2" t="n">
        <f aca="false">F35+G35+H35</f>
        <v>38</v>
      </c>
      <c r="F35" s="2" t="n">
        <v>26</v>
      </c>
      <c r="G35" s="2" t="n">
        <v>12</v>
      </c>
      <c r="H35" s="2" t="n">
        <v>0</v>
      </c>
      <c r="I35" s="2" t="n">
        <v>1</v>
      </c>
      <c r="J35" s="3" t="n">
        <f aca="false">IF(D35=0,"",I35/D35)</f>
        <v>0.0333333333333333</v>
      </c>
      <c r="K35" s="4" t="n">
        <f aca="false">IF(D35=0,"",E35/D35)</f>
        <v>1.26666666666667</v>
      </c>
      <c r="L35" s="2" t="n">
        <v>10</v>
      </c>
      <c r="M35" s="2" t="n">
        <v>10</v>
      </c>
      <c r="N35" s="2" t="n">
        <v>18</v>
      </c>
      <c r="O35" s="2"/>
    </row>
    <row r="36" customFormat="false" ht="15" hidden="false" customHeight="false" outlineLevel="0" collapsed="false">
      <c r="A36" s="2" t="s">
        <v>92</v>
      </c>
      <c r="B36" s="2" t="s">
        <v>93</v>
      </c>
      <c r="C36" s="2" t="s">
        <v>91</v>
      </c>
      <c r="D36" s="2" t="n">
        <v>29</v>
      </c>
      <c r="E36" s="2" t="n">
        <f aca="false">F36+G36+H36</f>
        <v>2</v>
      </c>
      <c r="F36" s="2" t="n">
        <v>0</v>
      </c>
      <c r="G36" s="2" t="n">
        <v>2</v>
      </c>
      <c r="H36" s="2" t="n">
        <v>0</v>
      </c>
      <c r="I36" s="2" t="n">
        <v>28</v>
      </c>
      <c r="J36" s="3" t="n">
        <f aca="false">IF(D36=0,"",I36/D36)</f>
        <v>0.96551724137931</v>
      </c>
      <c r="K36" s="4" t="n">
        <f aca="false">IF(D36=0,"",E36/D36)</f>
        <v>0.0689655172413793</v>
      </c>
      <c r="L36" s="2" t="n">
        <v>0</v>
      </c>
      <c r="M36" s="2" t="n">
        <v>2</v>
      </c>
      <c r="N36" s="2" t="n">
        <v>0</v>
      </c>
      <c r="O36" s="2"/>
    </row>
    <row r="37" customFormat="false" ht="15" hidden="false" customHeight="false" outlineLevel="0" collapsed="false">
      <c r="A37" s="2" t="s">
        <v>94</v>
      </c>
      <c r="B37" s="2" t="s">
        <v>95</v>
      </c>
      <c r="C37" s="2" t="s">
        <v>91</v>
      </c>
      <c r="D37" s="2" t="n">
        <v>28</v>
      </c>
      <c r="E37" s="2" t="n">
        <f aca="false">F37+G37+H37</f>
        <v>29</v>
      </c>
      <c r="F37" s="2" t="n">
        <v>11</v>
      </c>
      <c r="G37" s="2" t="n">
        <v>14</v>
      </c>
      <c r="H37" s="2" t="n">
        <v>4</v>
      </c>
      <c r="I37" s="2" t="n">
        <v>10</v>
      </c>
      <c r="J37" s="3" t="n">
        <f aca="false">IF(D37=0,"",I37/D37)</f>
        <v>0.357142857142857</v>
      </c>
      <c r="K37" s="4" t="n">
        <f aca="false">IF(D37=0,"",E37/D37)</f>
        <v>1.03571428571429</v>
      </c>
      <c r="L37" s="2" t="n">
        <v>8</v>
      </c>
      <c r="M37" s="2" t="n">
        <v>13</v>
      </c>
      <c r="N37" s="2" t="n">
        <v>4</v>
      </c>
      <c r="O37" s="2"/>
    </row>
    <row r="38" customFormat="false" ht="15" hidden="false" customHeight="false" outlineLevel="0" collapsed="false">
      <c r="A38" s="2" t="s">
        <v>96</v>
      </c>
      <c r="B38" s="2" t="s">
        <v>97</v>
      </c>
      <c r="C38" s="2" t="s">
        <v>38</v>
      </c>
      <c r="D38" s="2" t="n">
        <v>26</v>
      </c>
      <c r="E38" s="2" t="n">
        <f aca="false">F38+G38+H38</f>
        <v>6</v>
      </c>
      <c r="F38" s="2" t="n">
        <v>6</v>
      </c>
      <c r="G38" s="2" t="n">
        <v>0</v>
      </c>
      <c r="H38" s="2" t="n">
        <v>0</v>
      </c>
      <c r="I38" s="2" t="n">
        <v>18</v>
      </c>
      <c r="J38" s="3" t="n">
        <f aca="false">IF(D38=0,"",I38/D38)</f>
        <v>0.692307692307692</v>
      </c>
      <c r="K38" s="4" t="n">
        <f aca="false">IF(D38=0,"",E38/D38)</f>
        <v>0.230769230769231</v>
      </c>
      <c r="L38" s="2" t="n">
        <v>0</v>
      </c>
      <c r="M38" s="2" t="n">
        <v>6</v>
      </c>
      <c r="N38" s="2" t="n">
        <v>0</v>
      </c>
      <c r="O38" s="2"/>
    </row>
    <row r="39" customFormat="false" ht="15" hidden="false" customHeight="false" outlineLevel="0" collapsed="false">
      <c r="A39" s="2" t="s">
        <v>98</v>
      </c>
      <c r="B39" s="2" t="s">
        <v>99</v>
      </c>
      <c r="C39" s="2" t="s">
        <v>41</v>
      </c>
      <c r="D39" s="2" t="n">
        <v>25</v>
      </c>
      <c r="E39" s="2" t="n">
        <f aca="false">F39+G39+H39</f>
        <v>29</v>
      </c>
      <c r="F39" s="2" t="n">
        <v>19</v>
      </c>
      <c r="G39" s="2" t="n">
        <v>8</v>
      </c>
      <c r="H39" s="2" t="n">
        <v>2</v>
      </c>
      <c r="I39" s="2" t="n">
        <v>0</v>
      </c>
      <c r="J39" s="3" t="n">
        <f aca="false">IF(D39=0,"",I39/D39)</f>
        <v>0</v>
      </c>
      <c r="K39" s="4" t="n">
        <f aca="false">IF(D39=0,"",E39/D39)</f>
        <v>1.16</v>
      </c>
      <c r="L39" s="2" t="n">
        <v>13</v>
      </c>
      <c r="M39" s="2" t="n">
        <v>11</v>
      </c>
      <c r="N39" s="2" t="n">
        <v>3</v>
      </c>
      <c r="O39" s="2"/>
    </row>
    <row r="40" customFormat="false" ht="15" hidden="false" customHeight="false" outlineLevel="0" collapsed="false">
      <c r="A40" s="2" t="s">
        <v>100</v>
      </c>
      <c r="B40" s="2" t="s">
        <v>101</v>
      </c>
      <c r="C40" s="2" t="s">
        <v>51</v>
      </c>
      <c r="D40" s="2" t="n">
        <v>25</v>
      </c>
      <c r="E40" s="2" t="n">
        <f aca="false">F40+G40+H40</f>
        <v>27</v>
      </c>
      <c r="F40" s="2" t="n">
        <v>17</v>
      </c>
      <c r="G40" s="2" t="n">
        <v>9</v>
      </c>
      <c r="H40" s="2" t="n">
        <v>1</v>
      </c>
      <c r="I40" s="2" t="n">
        <v>1</v>
      </c>
      <c r="J40" s="3" t="n">
        <f aca="false">IF(D40=0,"",I40/D40)</f>
        <v>0.04</v>
      </c>
      <c r="K40" s="4" t="n">
        <f aca="false">IF(D40=0,"",E40/D40)</f>
        <v>1.08</v>
      </c>
      <c r="L40" s="2" t="n">
        <v>5</v>
      </c>
      <c r="M40" s="2" t="n">
        <v>18</v>
      </c>
      <c r="N40" s="2" t="n">
        <v>3</v>
      </c>
      <c r="O40" s="2"/>
    </row>
    <row r="41" customFormat="false" ht="15" hidden="false" customHeight="false" outlineLevel="0" collapsed="false">
      <c r="A41" s="2" t="s">
        <v>102</v>
      </c>
      <c r="B41" s="2" t="s">
        <v>103</v>
      </c>
      <c r="C41" s="2" t="s">
        <v>23</v>
      </c>
      <c r="D41" s="2" t="n">
        <v>25</v>
      </c>
      <c r="E41" s="2" t="n">
        <f aca="false">F41+G41+H41</f>
        <v>13</v>
      </c>
      <c r="F41" s="2" t="n">
        <v>2</v>
      </c>
      <c r="G41" s="2" t="n">
        <v>11</v>
      </c>
      <c r="H41" s="2" t="n">
        <v>0</v>
      </c>
      <c r="I41" s="2" t="n">
        <v>18</v>
      </c>
      <c r="J41" s="3" t="n">
        <f aca="false">IF(D41=0,"",I41/D41)</f>
        <v>0.72</v>
      </c>
      <c r="K41" s="4" t="n">
        <f aca="false">IF(D41=0,"",E41/D41)</f>
        <v>0.52</v>
      </c>
      <c r="L41" s="2" t="n">
        <v>7</v>
      </c>
      <c r="M41" s="2" t="n">
        <v>5</v>
      </c>
      <c r="N41" s="2" t="n">
        <v>1</v>
      </c>
      <c r="O41" s="2"/>
    </row>
    <row r="42" customFormat="false" ht="15" hidden="false" customHeight="false" outlineLevel="0" collapsed="false">
      <c r="A42" s="2" t="s">
        <v>104</v>
      </c>
      <c r="B42" s="2" t="s">
        <v>105</v>
      </c>
      <c r="C42" s="2" t="s">
        <v>41</v>
      </c>
      <c r="D42" s="2" t="n">
        <v>23</v>
      </c>
      <c r="E42" s="2" t="n">
        <f aca="false">F42+G42+H42</f>
        <v>26</v>
      </c>
      <c r="F42" s="2" t="n">
        <v>17</v>
      </c>
      <c r="G42" s="2" t="n">
        <v>8</v>
      </c>
      <c r="H42" s="2" t="n">
        <v>1</v>
      </c>
      <c r="I42" s="2" t="n">
        <v>1</v>
      </c>
      <c r="J42" s="3" t="n">
        <f aca="false">IF(D42=0,"",I42/D42)</f>
        <v>0.0434782608695652</v>
      </c>
      <c r="K42" s="4" t="n">
        <f aca="false">IF(D42=0,"",E42/D42)</f>
        <v>1.1304347826087</v>
      </c>
      <c r="L42" s="2" t="n">
        <v>18</v>
      </c>
      <c r="M42" s="2" t="n">
        <v>5</v>
      </c>
      <c r="N42" s="2" t="n">
        <v>2</v>
      </c>
      <c r="O42" s="2"/>
    </row>
    <row r="43" customFormat="false" ht="15" hidden="false" customHeight="false" outlineLevel="0" collapsed="false">
      <c r="A43" s="2" t="s">
        <v>106</v>
      </c>
      <c r="B43" s="2" t="s">
        <v>107</v>
      </c>
      <c r="C43" s="2" t="s">
        <v>51</v>
      </c>
      <c r="D43" s="2" t="n">
        <v>20</v>
      </c>
      <c r="E43" s="2" t="n">
        <f aca="false">F43+G43+H43</f>
        <v>13</v>
      </c>
      <c r="F43" s="2" t="n">
        <v>11</v>
      </c>
      <c r="G43" s="2" t="n">
        <v>2</v>
      </c>
      <c r="H43" s="2" t="n">
        <v>0</v>
      </c>
      <c r="I43" s="2" t="n">
        <v>7</v>
      </c>
      <c r="J43" s="3" t="n">
        <f aca="false">IF(D43=0,"",I43/D43)</f>
        <v>0.35</v>
      </c>
      <c r="K43" s="4" t="n">
        <f aca="false">IF(D43=0,"",E43/D43)</f>
        <v>0.65</v>
      </c>
      <c r="L43" s="2" t="n">
        <v>1</v>
      </c>
      <c r="M43" s="2" t="n">
        <v>11</v>
      </c>
      <c r="N43" s="2" t="n">
        <v>1</v>
      </c>
      <c r="O43" s="2"/>
    </row>
    <row r="44" customFormat="false" ht="15" hidden="false" customHeight="false" outlineLevel="0" collapsed="false">
      <c r="A44" s="2" t="s">
        <v>108</v>
      </c>
      <c r="B44" s="2" t="s">
        <v>109</v>
      </c>
      <c r="C44" s="2" t="s">
        <v>51</v>
      </c>
      <c r="D44" s="2" t="n">
        <v>16</v>
      </c>
      <c r="E44" s="2" t="n">
        <f aca="false">F44+G44+H44</f>
        <v>9</v>
      </c>
      <c r="F44" s="2" t="n">
        <v>6</v>
      </c>
      <c r="G44" s="2" t="n">
        <v>3</v>
      </c>
      <c r="H44" s="2" t="n">
        <v>0</v>
      </c>
      <c r="I44" s="2" t="n">
        <v>7</v>
      </c>
      <c r="J44" s="3" t="n">
        <f aca="false">IF(D44=0,"",I44/D44)</f>
        <v>0.4375</v>
      </c>
      <c r="K44" s="4" t="n">
        <f aca="false">IF(D44=0,"",E44/D44)</f>
        <v>0.5625</v>
      </c>
      <c r="L44" s="2" t="n">
        <v>3</v>
      </c>
      <c r="M44" s="2" t="n">
        <v>5</v>
      </c>
      <c r="N44" s="2" t="n">
        <v>1</v>
      </c>
      <c r="O44" s="2"/>
    </row>
    <row r="45" customFormat="false" ht="15" hidden="false" customHeight="false" outlineLevel="0" collapsed="false">
      <c r="A45" s="2" t="s">
        <v>110</v>
      </c>
      <c r="B45" s="2" t="s">
        <v>111</v>
      </c>
      <c r="C45" s="2" t="s">
        <v>91</v>
      </c>
      <c r="D45" s="2" t="n">
        <v>15</v>
      </c>
      <c r="E45" s="2" t="n">
        <f aca="false">F45+G45+H45</f>
        <v>18</v>
      </c>
      <c r="F45" s="2" t="n">
        <v>6</v>
      </c>
      <c r="G45" s="2" t="n">
        <v>12</v>
      </c>
      <c r="H45" s="2" t="n">
        <v>0</v>
      </c>
      <c r="I45" s="2" t="n">
        <v>2</v>
      </c>
      <c r="J45" s="3" t="n">
        <f aca="false">IF(D45=0,"",I45/D45)</f>
        <v>0.133333333333333</v>
      </c>
      <c r="K45" s="4" t="n">
        <f aca="false">IF(D45=0,"",E45/D45)</f>
        <v>1.2</v>
      </c>
      <c r="L45" s="2" t="n">
        <v>4</v>
      </c>
      <c r="M45" s="2" t="n">
        <v>12</v>
      </c>
      <c r="N45" s="2" t="n">
        <v>2</v>
      </c>
      <c r="O45" s="2"/>
    </row>
    <row r="46" customFormat="false" ht="15" hidden="false" customHeight="false" outlineLevel="0" collapsed="false">
      <c r="A46" s="2" t="s">
        <v>112</v>
      </c>
      <c r="B46" s="2" t="s">
        <v>113</v>
      </c>
      <c r="C46" s="2" t="s">
        <v>51</v>
      </c>
      <c r="D46" s="2" t="n">
        <v>14</v>
      </c>
      <c r="E46" s="2" t="n">
        <f aca="false">F46+G46+H46</f>
        <v>11</v>
      </c>
      <c r="F46" s="2" t="n">
        <v>2</v>
      </c>
      <c r="G46" s="2" t="n">
        <v>9</v>
      </c>
      <c r="H46" s="2" t="n">
        <v>0</v>
      </c>
      <c r="I46" s="2" t="n">
        <v>6</v>
      </c>
      <c r="J46" s="3" t="n">
        <f aca="false">IF(D46=0,"",I46/D46)</f>
        <v>0.428571428571429</v>
      </c>
      <c r="K46" s="4" t="n">
        <f aca="false">IF(D46=0,"",E46/D46)</f>
        <v>0.785714285714286</v>
      </c>
      <c r="L46" s="2" t="n">
        <v>4</v>
      </c>
      <c r="M46" s="2" t="n">
        <v>7</v>
      </c>
      <c r="N46" s="2" t="n">
        <v>0</v>
      </c>
      <c r="O46" s="2"/>
    </row>
    <row r="47" customFormat="false" ht="15" hidden="false" customHeight="false" outlineLevel="0" collapsed="false">
      <c r="A47" s="2" t="s">
        <v>114</v>
      </c>
      <c r="B47" s="2" t="s">
        <v>115</v>
      </c>
      <c r="C47" s="2" t="s">
        <v>91</v>
      </c>
      <c r="D47" s="2" t="n">
        <v>13</v>
      </c>
      <c r="E47" s="2" t="n">
        <f aca="false">F47+G47+H47</f>
        <v>5</v>
      </c>
      <c r="F47" s="2" t="n">
        <v>2</v>
      </c>
      <c r="G47" s="2" t="n">
        <v>3</v>
      </c>
      <c r="H47" s="2" t="n">
        <v>0</v>
      </c>
      <c r="I47" s="2" t="n">
        <v>8</v>
      </c>
      <c r="J47" s="3" t="n">
        <f aca="false">IF(D47=0,"",I47/D47)</f>
        <v>0.615384615384615</v>
      </c>
      <c r="K47" s="4" t="n">
        <f aca="false">IF(D47=0,"",E47/D47)</f>
        <v>0.384615384615385</v>
      </c>
      <c r="L47" s="2" t="n">
        <v>1</v>
      </c>
      <c r="M47" s="2" t="n">
        <v>1</v>
      </c>
      <c r="N47" s="2" t="n">
        <v>3</v>
      </c>
      <c r="O47" s="2"/>
    </row>
    <row r="48" customFormat="false" ht="15" hidden="false" customHeight="false" outlineLevel="0" collapsed="false">
      <c r="A48" s="2" t="s">
        <v>116</v>
      </c>
      <c r="B48" s="2" t="s">
        <v>117</v>
      </c>
      <c r="C48" s="2" t="s">
        <v>41</v>
      </c>
      <c r="D48" s="2" t="n">
        <v>13</v>
      </c>
      <c r="E48" s="2" t="n">
        <f aca="false">F48+G48+H48</f>
        <v>21</v>
      </c>
      <c r="F48" s="2" t="n">
        <v>11</v>
      </c>
      <c r="G48" s="2" t="n">
        <v>8</v>
      </c>
      <c r="H48" s="2" t="n">
        <v>2</v>
      </c>
      <c r="I48" s="2" t="n">
        <v>0</v>
      </c>
      <c r="J48" s="3" t="n">
        <f aca="false">IF(D48=0,"",I48/D48)</f>
        <v>0</v>
      </c>
      <c r="K48" s="4" t="n">
        <f aca="false">IF(D48=0,"",E48/D48)</f>
        <v>1.61538461538462</v>
      </c>
      <c r="L48" s="2" t="n">
        <v>15</v>
      </c>
      <c r="M48" s="2" t="n">
        <v>4</v>
      </c>
      <c r="N48" s="2" t="n">
        <v>0</v>
      </c>
      <c r="O48" s="2"/>
    </row>
    <row r="49" customFormat="false" ht="15" hidden="false" customHeight="false" outlineLevel="0" collapsed="false">
      <c r="A49" s="2" t="s">
        <v>118</v>
      </c>
      <c r="B49" s="2" t="s">
        <v>119</v>
      </c>
      <c r="C49" s="2" t="s">
        <v>51</v>
      </c>
      <c r="D49" s="2" t="n">
        <v>12</v>
      </c>
      <c r="E49" s="2" t="n">
        <f aca="false">F49+G49+H49</f>
        <v>9</v>
      </c>
      <c r="F49" s="2" t="n">
        <v>7</v>
      </c>
      <c r="G49" s="2" t="n">
        <v>2</v>
      </c>
      <c r="H49" s="2" t="n">
        <v>0</v>
      </c>
      <c r="I49" s="2" t="n">
        <v>3</v>
      </c>
      <c r="J49" s="3" t="n">
        <f aca="false">IF(D49=0,"",I49/D49)</f>
        <v>0.25</v>
      </c>
      <c r="K49" s="4" t="n">
        <f aca="false">IF(D49=0,"",E49/D49)</f>
        <v>0.75</v>
      </c>
      <c r="L49" s="2" t="n">
        <v>2</v>
      </c>
      <c r="M49" s="2" t="n">
        <v>1</v>
      </c>
      <c r="N49" s="2" t="n">
        <v>6</v>
      </c>
      <c r="O49" s="2"/>
    </row>
    <row r="50" customFormat="false" ht="15" hidden="false" customHeight="false" outlineLevel="0" collapsed="false">
      <c r="A50" s="2" t="s">
        <v>120</v>
      </c>
      <c r="B50" s="2" t="s">
        <v>121</v>
      </c>
      <c r="C50" s="2" t="s">
        <v>51</v>
      </c>
      <c r="D50" s="2" t="n">
        <v>11</v>
      </c>
      <c r="E50" s="2" t="n">
        <f aca="false">F50+G50+H50</f>
        <v>7</v>
      </c>
      <c r="F50" s="2" t="n">
        <v>5</v>
      </c>
      <c r="G50" s="2" t="n">
        <v>1</v>
      </c>
      <c r="H50" s="2" t="n">
        <v>1</v>
      </c>
      <c r="I50" s="2" t="n">
        <v>3</v>
      </c>
      <c r="J50" s="3" t="n">
        <f aca="false">IF(D50=0,"",I50/D50)</f>
        <v>0.272727272727273</v>
      </c>
      <c r="K50" s="4" t="n">
        <f aca="false">IF(D50=0,"",E50/D50)</f>
        <v>0.636363636363636</v>
      </c>
      <c r="L50" s="2" t="n">
        <v>2</v>
      </c>
      <c r="M50" s="2" t="n">
        <v>3</v>
      </c>
      <c r="N50" s="2" t="n">
        <v>1</v>
      </c>
      <c r="O50" s="2"/>
    </row>
    <row r="51" customFormat="false" ht="15" hidden="false" customHeight="false" outlineLevel="0" collapsed="false">
      <c r="A51" s="2" t="s">
        <v>122</v>
      </c>
      <c r="B51" s="2" t="s">
        <v>123</v>
      </c>
      <c r="C51" s="2" t="s">
        <v>23</v>
      </c>
      <c r="D51" s="2" t="n">
        <v>10</v>
      </c>
      <c r="E51" s="2" t="n">
        <f aca="false">F51+G51+H51</f>
        <v>8</v>
      </c>
      <c r="F51" s="2" t="n">
        <v>4</v>
      </c>
      <c r="G51" s="2" t="n">
        <v>4</v>
      </c>
      <c r="H51" s="2" t="n">
        <v>0</v>
      </c>
      <c r="I51" s="2" t="n">
        <v>1</v>
      </c>
      <c r="J51" s="3" t="n">
        <f aca="false">IF(D51=0,"",I51/D51)</f>
        <v>0.1</v>
      </c>
      <c r="K51" s="4" t="n">
        <f aca="false">IF(D51=0,"",E51/D51)</f>
        <v>0.8</v>
      </c>
      <c r="L51" s="2" t="n">
        <v>4</v>
      </c>
      <c r="M51" s="2" t="n">
        <v>4</v>
      </c>
      <c r="N51" s="2" t="n">
        <v>0</v>
      </c>
      <c r="O51" s="2"/>
    </row>
    <row r="52" customFormat="false" ht="15" hidden="false" customHeight="false" outlineLevel="0" collapsed="false">
      <c r="A52" s="2" t="s">
        <v>124</v>
      </c>
      <c r="B52" s="2" t="s">
        <v>125</v>
      </c>
      <c r="C52" s="2" t="s">
        <v>41</v>
      </c>
      <c r="D52" s="2" t="n">
        <v>10</v>
      </c>
      <c r="E52" s="2" t="n">
        <f aca="false">F52+G52+H52</f>
        <v>15</v>
      </c>
      <c r="F52" s="2" t="n">
        <v>6</v>
      </c>
      <c r="G52" s="2" t="n">
        <v>7</v>
      </c>
      <c r="H52" s="2" t="n">
        <v>2</v>
      </c>
      <c r="I52" s="2" t="n">
        <v>1</v>
      </c>
      <c r="J52" s="3" t="n">
        <f aca="false">IF(D52=0,"",I52/D52)</f>
        <v>0.1</v>
      </c>
      <c r="K52" s="4" t="n">
        <f aca="false">IF(D52=0,"",E52/D52)</f>
        <v>1.5</v>
      </c>
      <c r="L52" s="2" t="n">
        <v>6</v>
      </c>
      <c r="M52" s="2" t="n">
        <v>6</v>
      </c>
      <c r="N52" s="2" t="n">
        <v>1</v>
      </c>
      <c r="O52" s="2"/>
    </row>
    <row r="53" customFormat="false" ht="15" hidden="false" customHeight="false" outlineLevel="0" collapsed="false">
      <c r="A53" s="2" t="s">
        <v>126</v>
      </c>
      <c r="B53" s="2" t="s">
        <v>127</v>
      </c>
      <c r="C53" s="2" t="s">
        <v>51</v>
      </c>
      <c r="D53" s="2" t="n">
        <v>10</v>
      </c>
      <c r="E53" s="2" t="n">
        <f aca="false">F53+G53+H53</f>
        <v>8</v>
      </c>
      <c r="F53" s="2" t="n">
        <v>3</v>
      </c>
      <c r="G53" s="2" t="n">
        <v>4</v>
      </c>
      <c r="H53" s="2" t="n">
        <v>1</v>
      </c>
      <c r="I53" s="2" t="n">
        <v>3</v>
      </c>
      <c r="J53" s="3" t="n">
        <f aca="false">IF(D53=0,"",I53/D53)</f>
        <v>0.3</v>
      </c>
      <c r="K53" s="4" t="n">
        <f aca="false">IF(D53=0,"",E53/D53)</f>
        <v>0.8</v>
      </c>
      <c r="L53" s="2" t="n">
        <v>4</v>
      </c>
      <c r="M53" s="2" t="n">
        <v>3</v>
      </c>
      <c r="N53" s="2" t="n">
        <v>0</v>
      </c>
      <c r="O53" s="2"/>
    </row>
    <row r="54" customFormat="false" ht="15" hidden="false" customHeight="false" outlineLevel="0" collapsed="false">
      <c r="A54" s="2" t="s">
        <v>128</v>
      </c>
      <c r="B54" s="2" t="s">
        <v>129</v>
      </c>
      <c r="C54" s="2" t="s">
        <v>41</v>
      </c>
      <c r="D54" s="2" t="n">
        <v>10</v>
      </c>
      <c r="E54" s="2" t="n">
        <f aca="false">F54+G54+H54</f>
        <v>16</v>
      </c>
      <c r="F54" s="2" t="n">
        <v>6</v>
      </c>
      <c r="G54" s="2" t="n">
        <v>8</v>
      </c>
      <c r="H54" s="2" t="n">
        <v>2</v>
      </c>
      <c r="I54" s="2" t="n">
        <v>0</v>
      </c>
      <c r="J54" s="3" t="n">
        <f aca="false">IF(D54=0,"",I54/D54)</f>
        <v>0</v>
      </c>
      <c r="K54" s="4" t="n">
        <f aca="false">IF(D54=0,"",E54/D54)</f>
        <v>1.6</v>
      </c>
      <c r="L54" s="2" t="n">
        <v>9</v>
      </c>
      <c r="M54" s="2" t="n">
        <v>5</v>
      </c>
      <c r="N54" s="2" t="n">
        <v>0</v>
      </c>
      <c r="O54" s="2"/>
    </row>
    <row r="55" customFormat="false" ht="15" hidden="false" customHeight="false" outlineLevel="0" collapsed="false">
      <c r="A55" s="2" t="s">
        <v>130</v>
      </c>
      <c r="B55" s="2" t="s">
        <v>131</v>
      </c>
      <c r="C55" s="2" t="s">
        <v>51</v>
      </c>
      <c r="D55" s="2" t="n">
        <v>10</v>
      </c>
      <c r="E55" s="2" t="n">
        <f aca="false">F55+G55+H55</f>
        <v>6</v>
      </c>
      <c r="F55" s="2" t="n">
        <v>2</v>
      </c>
      <c r="G55" s="2" t="n">
        <v>3</v>
      </c>
      <c r="H55" s="2" t="n">
        <v>1</v>
      </c>
      <c r="I55" s="2" t="n">
        <v>5</v>
      </c>
      <c r="J55" s="3" t="n">
        <f aca="false">IF(D55=0,"",I55/D55)</f>
        <v>0.5</v>
      </c>
      <c r="K55" s="4" t="n">
        <f aca="false">IF(D55=0,"",E55/D55)</f>
        <v>0.6</v>
      </c>
      <c r="L55" s="2" t="n">
        <v>1</v>
      </c>
      <c r="M55" s="2" t="n">
        <v>4</v>
      </c>
      <c r="N55" s="2" t="n">
        <v>0</v>
      </c>
      <c r="O55" s="2"/>
    </row>
    <row r="56" customFormat="false" ht="15" hidden="false" customHeight="false" outlineLevel="0" collapsed="false">
      <c r="A56" s="2" t="s">
        <v>132</v>
      </c>
      <c r="B56" s="2" t="s">
        <v>133</v>
      </c>
      <c r="C56" s="2" t="s">
        <v>41</v>
      </c>
      <c r="D56" s="2" t="n">
        <v>10</v>
      </c>
      <c r="E56" s="2" t="n">
        <f aca="false">F56+G56+H56</f>
        <v>12</v>
      </c>
      <c r="F56" s="2" t="n">
        <v>6</v>
      </c>
      <c r="G56" s="2" t="n">
        <v>5</v>
      </c>
      <c r="H56" s="2" t="n">
        <v>1</v>
      </c>
      <c r="I56" s="2" t="n">
        <v>0</v>
      </c>
      <c r="J56" s="3" t="n">
        <f aca="false">IF(D56=0,"",I56/D56)</f>
        <v>0</v>
      </c>
      <c r="K56" s="4" t="n">
        <f aca="false">IF(D56=0,"",E56/D56)</f>
        <v>1.2</v>
      </c>
      <c r="L56" s="2" t="n">
        <v>6</v>
      </c>
      <c r="M56" s="2" t="n">
        <v>3</v>
      </c>
      <c r="N56" s="2" t="n">
        <v>2</v>
      </c>
      <c r="O56" s="2"/>
    </row>
    <row r="57" customFormat="false" ht="15" hidden="false" customHeight="false" outlineLevel="0" collapsed="false">
      <c r="A57" s="2" t="s">
        <v>134</v>
      </c>
      <c r="B57" s="2" t="s">
        <v>135</v>
      </c>
      <c r="C57" s="2" t="s">
        <v>51</v>
      </c>
      <c r="D57" s="2" t="n">
        <v>10</v>
      </c>
      <c r="E57" s="2" t="n">
        <f aca="false">F57+G57+H57</f>
        <v>5</v>
      </c>
      <c r="F57" s="2" t="n">
        <v>2</v>
      </c>
      <c r="G57" s="2" t="n">
        <v>2</v>
      </c>
      <c r="H57" s="2" t="n">
        <v>1</v>
      </c>
      <c r="I57" s="2" t="n">
        <v>5</v>
      </c>
      <c r="J57" s="3" t="n">
        <f aca="false">IF(D57=0,"",I57/D57)</f>
        <v>0.5</v>
      </c>
      <c r="K57" s="4" t="n">
        <f aca="false">IF(D57=0,"",E57/D57)</f>
        <v>0.5</v>
      </c>
      <c r="L57" s="2" t="n">
        <v>0</v>
      </c>
      <c r="M57" s="2" t="n">
        <v>4</v>
      </c>
      <c r="N57" s="2" t="n">
        <v>0</v>
      </c>
      <c r="O57" s="2"/>
    </row>
    <row r="58" customFormat="false" ht="15" hidden="false" customHeight="false" outlineLevel="0" collapsed="false">
      <c r="A58" s="2" t="s">
        <v>136</v>
      </c>
      <c r="B58" s="2" t="s">
        <v>137</v>
      </c>
      <c r="C58" s="2" t="s">
        <v>41</v>
      </c>
      <c r="D58" s="2" t="n">
        <v>9</v>
      </c>
      <c r="E58" s="2" t="n">
        <f aca="false">F58+G58+H58</f>
        <v>14</v>
      </c>
      <c r="F58" s="2" t="n">
        <v>6</v>
      </c>
      <c r="G58" s="2" t="n">
        <v>6</v>
      </c>
      <c r="H58" s="2" t="n">
        <v>2</v>
      </c>
      <c r="I58" s="2" t="n">
        <v>0</v>
      </c>
      <c r="J58" s="3" t="n">
        <f aca="false">IF(D58=0,"",I58/D58)</f>
        <v>0</v>
      </c>
      <c r="K58" s="4" t="n">
        <f aca="false">IF(D58=0,"",E58/D58)</f>
        <v>1.55555555555556</v>
      </c>
      <c r="L58" s="2" t="n">
        <v>6</v>
      </c>
      <c r="M58" s="2" t="n">
        <v>4</v>
      </c>
      <c r="N58" s="2" t="n">
        <v>2</v>
      </c>
      <c r="O58" s="2"/>
    </row>
    <row r="59" customFormat="false" ht="15" hidden="false" customHeight="false" outlineLevel="0" collapsed="false">
      <c r="A59" s="2" t="s">
        <v>138</v>
      </c>
      <c r="B59" s="2" t="s">
        <v>139</v>
      </c>
      <c r="C59" s="2" t="s">
        <v>51</v>
      </c>
      <c r="D59" s="2" t="n">
        <v>9</v>
      </c>
      <c r="E59" s="2" t="n">
        <f aca="false">F59+G59+H59</f>
        <v>7</v>
      </c>
      <c r="F59" s="2" t="n">
        <v>2</v>
      </c>
      <c r="G59" s="2" t="n">
        <v>4</v>
      </c>
      <c r="H59" s="2" t="n">
        <v>1</v>
      </c>
      <c r="I59" s="2" t="n">
        <v>4</v>
      </c>
      <c r="J59" s="3" t="n">
        <f aca="false">IF(D59=0,"",I59/D59)</f>
        <v>0.444444444444444</v>
      </c>
      <c r="K59" s="4" t="n">
        <f aca="false">IF(D59=0,"",E59/D59)</f>
        <v>0.777777777777778</v>
      </c>
      <c r="L59" s="2" t="n">
        <v>2</v>
      </c>
      <c r="M59" s="2" t="n">
        <v>4</v>
      </c>
      <c r="N59" s="2" t="n">
        <v>0</v>
      </c>
      <c r="O59" s="2"/>
    </row>
    <row r="60" customFormat="false" ht="15" hidden="false" customHeight="false" outlineLevel="0" collapsed="false">
      <c r="A60" s="2" t="s">
        <v>140</v>
      </c>
      <c r="B60" s="2" t="s">
        <v>141</v>
      </c>
      <c r="C60" s="2" t="s">
        <v>41</v>
      </c>
      <c r="D60" s="2" t="n">
        <v>9</v>
      </c>
      <c r="E60" s="2" t="n">
        <f aca="false">F60+G60+H60</f>
        <v>13</v>
      </c>
      <c r="F60" s="2" t="n">
        <v>5</v>
      </c>
      <c r="G60" s="2" t="n">
        <v>6</v>
      </c>
      <c r="H60" s="2" t="n">
        <v>2</v>
      </c>
      <c r="I60" s="2" t="n">
        <v>0</v>
      </c>
      <c r="J60" s="3" t="n">
        <f aca="false">IF(D60=0,"",I60/D60)</f>
        <v>0</v>
      </c>
      <c r="K60" s="4" t="n">
        <f aca="false">IF(D60=0,"",E60/D60)</f>
        <v>1.44444444444444</v>
      </c>
      <c r="L60" s="2" t="n">
        <v>6</v>
      </c>
      <c r="M60" s="2" t="n">
        <v>4</v>
      </c>
      <c r="N60" s="2" t="n">
        <v>1</v>
      </c>
      <c r="O60" s="2"/>
    </row>
    <row r="61" customFormat="false" ht="15" hidden="false" customHeight="false" outlineLevel="0" collapsed="false">
      <c r="A61" s="2" t="s">
        <v>142</v>
      </c>
      <c r="B61" s="2" t="s">
        <v>143</v>
      </c>
      <c r="C61" s="2" t="s">
        <v>41</v>
      </c>
      <c r="D61" s="2" t="n">
        <v>9</v>
      </c>
      <c r="E61" s="2" t="n">
        <f aca="false">F61+G61+H61</f>
        <v>13</v>
      </c>
      <c r="F61" s="2" t="n">
        <v>4</v>
      </c>
      <c r="G61" s="2" t="n">
        <v>7</v>
      </c>
      <c r="H61" s="2" t="n">
        <v>2</v>
      </c>
      <c r="I61" s="2" t="n">
        <v>0</v>
      </c>
      <c r="J61" s="3" t="n">
        <f aca="false">IF(D61=0,"",I61/D61)</f>
        <v>0</v>
      </c>
      <c r="K61" s="4" t="n">
        <f aca="false">IF(D61=0,"",E61/D61)</f>
        <v>1.44444444444444</v>
      </c>
      <c r="L61" s="2" t="n">
        <v>8</v>
      </c>
      <c r="M61" s="2" t="n">
        <v>3</v>
      </c>
      <c r="N61" s="2" t="n">
        <v>0</v>
      </c>
      <c r="O61" s="2"/>
    </row>
    <row r="62" customFormat="false" ht="15" hidden="false" customHeight="false" outlineLevel="0" collapsed="false">
      <c r="A62" s="2" t="s">
        <v>144</v>
      </c>
      <c r="B62" s="2" t="s">
        <v>145</v>
      </c>
      <c r="C62" s="2" t="s">
        <v>51</v>
      </c>
      <c r="D62" s="2" t="n">
        <v>9</v>
      </c>
      <c r="E62" s="2" t="n">
        <f aca="false">F62+G62+H62</f>
        <v>6</v>
      </c>
      <c r="F62" s="2" t="n">
        <v>1</v>
      </c>
      <c r="G62" s="2" t="n">
        <v>3</v>
      </c>
      <c r="H62" s="2" t="n">
        <v>2</v>
      </c>
      <c r="I62" s="2" t="n">
        <v>4</v>
      </c>
      <c r="J62" s="3" t="n">
        <f aca="false">IF(D62=0,"",I62/D62)</f>
        <v>0.444444444444444</v>
      </c>
      <c r="K62" s="4" t="n">
        <f aca="false">IF(D62=0,"",E62/D62)</f>
        <v>0.666666666666667</v>
      </c>
      <c r="L62" s="2" t="n">
        <v>2</v>
      </c>
      <c r="M62" s="2" t="n">
        <v>2</v>
      </c>
      <c r="N62" s="2" t="n">
        <v>0</v>
      </c>
      <c r="O62" s="2"/>
    </row>
    <row r="63" customFormat="false" ht="15" hidden="false" customHeight="false" outlineLevel="0" collapsed="false">
      <c r="A63" s="2" t="s">
        <v>146</v>
      </c>
      <c r="B63" s="2" t="s">
        <v>147</v>
      </c>
      <c r="C63" s="2" t="s">
        <v>41</v>
      </c>
      <c r="D63" s="2" t="n">
        <v>9</v>
      </c>
      <c r="E63" s="2" t="n">
        <f aca="false">F63+G63+H63</f>
        <v>13</v>
      </c>
      <c r="F63" s="2" t="n">
        <v>5</v>
      </c>
      <c r="G63" s="2" t="n">
        <v>6</v>
      </c>
      <c r="H63" s="2" t="n">
        <v>2</v>
      </c>
      <c r="I63" s="2" t="n">
        <v>0</v>
      </c>
      <c r="J63" s="3" t="n">
        <f aca="false">IF(D63=0,"",I63/D63)</f>
        <v>0</v>
      </c>
      <c r="K63" s="4" t="n">
        <f aca="false">IF(D63=0,"",E63/D63)</f>
        <v>1.44444444444444</v>
      </c>
      <c r="L63" s="2" t="n">
        <v>5</v>
      </c>
      <c r="M63" s="2" t="n">
        <v>5</v>
      </c>
      <c r="N63" s="2" t="n">
        <v>1</v>
      </c>
      <c r="O63" s="2"/>
    </row>
    <row r="64" customFormat="false" ht="15" hidden="false" customHeight="false" outlineLevel="0" collapsed="false">
      <c r="A64" s="2" t="s">
        <v>148</v>
      </c>
      <c r="B64" s="2" t="s">
        <v>149</v>
      </c>
      <c r="C64" s="2" t="s">
        <v>51</v>
      </c>
      <c r="D64" s="2" t="n">
        <v>9</v>
      </c>
      <c r="E64" s="2" t="n">
        <f aca="false">F64+G64+H64</f>
        <v>5</v>
      </c>
      <c r="F64" s="2" t="n">
        <v>2</v>
      </c>
      <c r="G64" s="2" t="n">
        <v>1</v>
      </c>
      <c r="H64" s="2" t="n">
        <v>2</v>
      </c>
      <c r="I64" s="2" t="n">
        <v>3</v>
      </c>
      <c r="J64" s="3" t="n">
        <f aca="false">IF(D64=0,"",I64/D64)</f>
        <v>0.333333333333333</v>
      </c>
      <c r="K64" s="4" t="n">
        <f aca="false">IF(D64=0,"",E64/D64)</f>
        <v>0.555555555555556</v>
      </c>
      <c r="L64" s="2" t="n">
        <v>1</v>
      </c>
      <c r="M64" s="2" t="n">
        <v>1</v>
      </c>
      <c r="N64" s="2" t="n">
        <v>1</v>
      </c>
      <c r="O64" s="2"/>
    </row>
    <row r="65" customFormat="false" ht="15" hidden="false" customHeight="false" outlineLevel="0" collapsed="false">
      <c r="A65" s="2" t="s">
        <v>150</v>
      </c>
      <c r="B65" s="2" t="s">
        <v>151</v>
      </c>
      <c r="C65" s="2" t="s">
        <v>41</v>
      </c>
      <c r="D65" s="2" t="n">
        <v>9</v>
      </c>
      <c r="E65" s="2" t="n">
        <f aca="false">F65+G65+H65</f>
        <v>16</v>
      </c>
      <c r="F65" s="2" t="n">
        <v>5</v>
      </c>
      <c r="G65" s="2" t="n">
        <v>9</v>
      </c>
      <c r="H65" s="2" t="n">
        <v>2</v>
      </c>
      <c r="I65" s="2" t="n">
        <v>0</v>
      </c>
      <c r="J65" s="3" t="n">
        <f aca="false">IF(D65=0,"",I65/D65)</f>
        <v>0</v>
      </c>
      <c r="K65" s="4" t="n">
        <f aca="false">IF(D65=0,"",E65/D65)</f>
        <v>1.77777777777778</v>
      </c>
      <c r="L65" s="2" t="n">
        <v>8</v>
      </c>
      <c r="M65" s="2" t="n">
        <v>3</v>
      </c>
      <c r="N65" s="2" t="n">
        <v>3</v>
      </c>
      <c r="O65" s="2"/>
    </row>
    <row r="66" customFormat="false" ht="15" hidden="false" customHeight="false" outlineLevel="0" collapsed="false">
      <c r="A66" s="2" t="s">
        <v>152</v>
      </c>
      <c r="B66" s="2" t="s">
        <v>153</v>
      </c>
      <c r="C66" s="2" t="s">
        <v>41</v>
      </c>
      <c r="D66" s="2" t="n">
        <v>9</v>
      </c>
      <c r="E66" s="2" t="n">
        <f aca="false">F66+G66+H66</f>
        <v>15</v>
      </c>
      <c r="F66" s="2" t="n">
        <v>5</v>
      </c>
      <c r="G66" s="2" t="n">
        <v>7</v>
      </c>
      <c r="H66" s="2" t="n">
        <v>3</v>
      </c>
      <c r="I66" s="2" t="n">
        <v>0</v>
      </c>
      <c r="J66" s="3" t="n">
        <f aca="false">IF(D66=0,"",I66/D66)</f>
        <v>0</v>
      </c>
      <c r="K66" s="4" t="n">
        <f aca="false">IF(D66=0,"",E66/D66)</f>
        <v>1.66666666666667</v>
      </c>
      <c r="L66" s="2" t="n">
        <v>7</v>
      </c>
      <c r="M66" s="2" t="n">
        <v>5</v>
      </c>
      <c r="N66" s="2" t="n">
        <v>0</v>
      </c>
      <c r="O66" s="2"/>
    </row>
    <row r="67" customFormat="false" ht="15" hidden="false" customHeight="false" outlineLevel="0" collapsed="false">
      <c r="A67" s="2" t="s">
        <v>154</v>
      </c>
      <c r="B67" s="2" t="s">
        <v>155</v>
      </c>
      <c r="C67" s="2" t="s">
        <v>51</v>
      </c>
      <c r="D67" s="2" t="n">
        <v>9</v>
      </c>
      <c r="E67" s="2" t="n">
        <f aca="false">F67+G67+H67</f>
        <v>8</v>
      </c>
      <c r="F67" s="2" t="n">
        <v>3</v>
      </c>
      <c r="G67" s="2" t="n">
        <v>5</v>
      </c>
      <c r="H67" s="2" t="n">
        <v>0</v>
      </c>
      <c r="I67" s="2" t="n">
        <v>1</v>
      </c>
      <c r="J67" s="3" t="n">
        <f aca="false">IF(D67=0,"",I67/D67)</f>
        <v>0.111111111111111</v>
      </c>
      <c r="K67" s="4" t="n">
        <f aca="false">IF(D67=0,"",E67/D67)</f>
        <v>0.888888888888889</v>
      </c>
      <c r="L67" s="2" t="n">
        <v>5</v>
      </c>
      <c r="M67" s="2" t="n">
        <v>2</v>
      </c>
      <c r="N67" s="2" t="n">
        <v>1</v>
      </c>
      <c r="O67" s="2"/>
    </row>
    <row r="68" customFormat="false" ht="15" hidden="false" customHeight="false" outlineLevel="0" collapsed="false">
      <c r="A68" s="2" t="s">
        <v>156</v>
      </c>
      <c r="B68" s="2" t="s">
        <v>157</v>
      </c>
      <c r="C68" s="2" t="s">
        <v>23</v>
      </c>
      <c r="D68" s="2" t="n">
        <v>9</v>
      </c>
      <c r="E68" s="2" t="n">
        <f aca="false">F68+G68+H68</f>
        <v>6</v>
      </c>
      <c r="F68" s="2" t="n">
        <v>1</v>
      </c>
      <c r="G68" s="2" t="n">
        <v>5</v>
      </c>
      <c r="H68" s="2" t="n">
        <v>0</v>
      </c>
      <c r="I68" s="2" t="n">
        <v>4</v>
      </c>
      <c r="J68" s="3" t="n">
        <f aca="false">IF(D68=0,"",I68/D68)</f>
        <v>0.444444444444444</v>
      </c>
      <c r="K68" s="4" t="n">
        <f aca="false">IF(D68=0,"",E68/D68)</f>
        <v>0.666666666666667</v>
      </c>
      <c r="L68" s="2" t="n">
        <v>3</v>
      </c>
      <c r="M68" s="2" t="n">
        <v>2</v>
      </c>
      <c r="N68" s="2" t="n">
        <v>1</v>
      </c>
      <c r="O68" s="2"/>
    </row>
    <row r="69" customFormat="false" ht="15" hidden="false" customHeight="false" outlineLevel="0" collapsed="false">
      <c r="A69" s="2" t="s">
        <v>158</v>
      </c>
      <c r="B69" s="2" t="s">
        <v>159</v>
      </c>
      <c r="C69" s="2" t="s">
        <v>51</v>
      </c>
      <c r="D69" s="2" t="n">
        <v>9</v>
      </c>
      <c r="E69" s="2" t="n">
        <f aca="false">F69+G69+H69</f>
        <v>6</v>
      </c>
      <c r="F69" s="2" t="n">
        <v>4</v>
      </c>
      <c r="G69" s="2" t="n">
        <v>1</v>
      </c>
      <c r="H69" s="2" t="n">
        <v>1</v>
      </c>
      <c r="I69" s="2" t="n">
        <v>2</v>
      </c>
      <c r="J69" s="3" t="n">
        <f aca="false">IF(D69=0,"",I69/D69)</f>
        <v>0.222222222222222</v>
      </c>
      <c r="K69" s="4" t="n">
        <f aca="false">IF(D69=0,"",E69/D69)</f>
        <v>0.666666666666667</v>
      </c>
      <c r="L69" s="2" t="n">
        <v>1</v>
      </c>
      <c r="M69" s="2" t="n">
        <v>3</v>
      </c>
      <c r="N69" s="2" t="n">
        <v>1</v>
      </c>
      <c r="O69" s="2"/>
    </row>
    <row r="70" customFormat="false" ht="15" hidden="false" customHeight="false" outlineLevel="0" collapsed="false">
      <c r="A70" s="2" t="s">
        <v>160</v>
      </c>
      <c r="B70" s="2" t="s">
        <v>161</v>
      </c>
      <c r="C70" s="2" t="s">
        <v>51</v>
      </c>
      <c r="D70" s="2" t="n">
        <v>9</v>
      </c>
      <c r="E70" s="2" t="n">
        <f aca="false">F70+G70+H70</f>
        <v>1</v>
      </c>
      <c r="F70" s="2" t="n">
        <v>1</v>
      </c>
      <c r="G70" s="2" t="n">
        <v>0</v>
      </c>
      <c r="H70" s="2" t="n">
        <v>0</v>
      </c>
      <c r="I70" s="2" t="n">
        <v>7</v>
      </c>
      <c r="J70" s="3" t="n">
        <f aca="false">IF(D70=0,"",I70/D70)</f>
        <v>0.777777777777778</v>
      </c>
      <c r="K70" s="4" t="n">
        <f aca="false">IF(D70=0,"",E70/D70)</f>
        <v>0.111111111111111</v>
      </c>
      <c r="L70" s="2" t="n">
        <v>0</v>
      </c>
      <c r="M70" s="2" t="n">
        <v>1</v>
      </c>
      <c r="N70" s="2" t="n">
        <v>0</v>
      </c>
      <c r="O70" s="2"/>
    </row>
    <row r="71" customFormat="false" ht="15" hidden="false" customHeight="false" outlineLevel="0" collapsed="false">
      <c r="A71" s="2" t="s">
        <v>162</v>
      </c>
      <c r="B71" s="2" t="s">
        <v>163</v>
      </c>
      <c r="C71" s="2" t="s">
        <v>41</v>
      </c>
      <c r="D71" s="2" t="n">
        <v>9</v>
      </c>
      <c r="E71" s="2" t="n">
        <f aca="false">F71+G71+H71</f>
        <v>15</v>
      </c>
      <c r="F71" s="2" t="n">
        <v>5</v>
      </c>
      <c r="G71" s="2" t="n">
        <v>8</v>
      </c>
      <c r="H71" s="2" t="n">
        <v>2</v>
      </c>
      <c r="I71" s="2" t="n">
        <v>0</v>
      </c>
      <c r="J71" s="3" t="n">
        <f aca="false">IF(D71=0,"",I71/D71)</f>
        <v>0</v>
      </c>
      <c r="K71" s="4" t="n">
        <f aca="false">IF(D71=0,"",E71/D71)</f>
        <v>1.66666666666667</v>
      </c>
      <c r="L71" s="2" t="n">
        <v>8</v>
      </c>
      <c r="M71" s="2" t="n">
        <v>4</v>
      </c>
      <c r="N71" s="2" t="n">
        <v>1</v>
      </c>
      <c r="O71" s="2"/>
    </row>
    <row r="72" customFormat="false" ht="15" hidden="false" customHeight="false" outlineLevel="0" collapsed="false">
      <c r="A72" s="2" t="s">
        <v>164</v>
      </c>
      <c r="B72" s="2" t="s">
        <v>165</v>
      </c>
      <c r="C72" s="2" t="s">
        <v>51</v>
      </c>
      <c r="D72" s="2" t="n">
        <v>9</v>
      </c>
      <c r="E72" s="2" t="n">
        <f aca="false">F72+G72+H72</f>
        <v>4</v>
      </c>
      <c r="F72" s="2" t="n">
        <v>2</v>
      </c>
      <c r="G72" s="2" t="n">
        <v>2</v>
      </c>
      <c r="H72" s="2" t="n">
        <v>0</v>
      </c>
      <c r="I72" s="2" t="n">
        <v>5</v>
      </c>
      <c r="J72" s="3" t="n">
        <f aca="false">IF(D72=0,"",I72/D72)</f>
        <v>0.555555555555556</v>
      </c>
      <c r="K72" s="4" t="n">
        <f aca="false">IF(D72=0,"",E72/D72)</f>
        <v>0.444444444444444</v>
      </c>
      <c r="L72" s="2" t="n">
        <v>3</v>
      </c>
      <c r="M72" s="2" t="n">
        <v>1</v>
      </c>
      <c r="N72" s="2" t="n">
        <v>0</v>
      </c>
      <c r="O72" s="2"/>
    </row>
    <row r="73" customFormat="false" ht="15" hidden="false" customHeight="false" outlineLevel="0" collapsed="false">
      <c r="A73" s="2" t="s">
        <v>166</v>
      </c>
      <c r="B73" s="2" t="s">
        <v>167</v>
      </c>
      <c r="C73" s="2" t="s">
        <v>51</v>
      </c>
      <c r="D73" s="2" t="n">
        <v>8</v>
      </c>
      <c r="E73" s="2" t="n">
        <f aca="false">F73+G73+H73</f>
        <v>5</v>
      </c>
      <c r="F73" s="2" t="n">
        <v>3</v>
      </c>
      <c r="G73" s="2" t="n">
        <v>1</v>
      </c>
      <c r="H73" s="2" t="n">
        <v>1</v>
      </c>
      <c r="I73" s="2" t="n">
        <v>3</v>
      </c>
      <c r="J73" s="3" t="n">
        <f aca="false">IF(D73=0,"",I73/D73)</f>
        <v>0.375</v>
      </c>
      <c r="K73" s="4" t="n">
        <f aca="false">IF(D73=0,"",E73/D73)</f>
        <v>0.625</v>
      </c>
      <c r="L73" s="2" t="n">
        <v>2</v>
      </c>
      <c r="M73" s="2" t="n">
        <v>2</v>
      </c>
      <c r="N73" s="2" t="n">
        <v>0</v>
      </c>
      <c r="O73" s="2"/>
    </row>
    <row r="74" customFormat="false" ht="15" hidden="false" customHeight="false" outlineLevel="0" collapsed="false">
      <c r="A74" s="2" t="s">
        <v>168</v>
      </c>
      <c r="B74" s="2" t="s">
        <v>169</v>
      </c>
      <c r="C74" s="2" t="s">
        <v>51</v>
      </c>
      <c r="D74" s="2" t="n">
        <v>8</v>
      </c>
      <c r="E74" s="2" t="n">
        <f aca="false">F74+G74+H74</f>
        <v>2</v>
      </c>
      <c r="F74" s="2" t="n">
        <v>1</v>
      </c>
      <c r="G74" s="2" t="n">
        <v>1</v>
      </c>
      <c r="H74" s="2" t="n">
        <v>0</v>
      </c>
      <c r="I74" s="2" t="n">
        <v>5</v>
      </c>
      <c r="J74" s="3" t="n">
        <f aca="false">IF(D74=0,"",I74/D74)</f>
        <v>0.625</v>
      </c>
      <c r="K74" s="4" t="n">
        <f aca="false">IF(D74=0,"",E74/D74)</f>
        <v>0.25</v>
      </c>
      <c r="L74" s="2" t="n">
        <v>1</v>
      </c>
      <c r="M74" s="2" t="n">
        <v>1</v>
      </c>
      <c r="N74" s="2" t="n">
        <v>0</v>
      </c>
      <c r="O74" s="2"/>
    </row>
    <row r="75" customFormat="false" ht="15" hidden="false" customHeight="false" outlineLevel="0" collapsed="false">
      <c r="A75" s="2" t="s">
        <v>170</v>
      </c>
      <c r="B75" s="2" t="s">
        <v>171</v>
      </c>
      <c r="C75" s="2" t="s">
        <v>51</v>
      </c>
      <c r="D75" s="2" t="n">
        <v>8</v>
      </c>
      <c r="E75" s="2" t="n">
        <f aca="false">F75+G75+H75</f>
        <v>6</v>
      </c>
      <c r="F75" s="2" t="n">
        <v>2</v>
      </c>
      <c r="G75" s="2" t="n">
        <v>4</v>
      </c>
      <c r="H75" s="2" t="n">
        <v>0</v>
      </c>
      <c r="I75" s="2" t="n">
        <v>3</v>
      </c>
      <c r="J75" s="3" t="n">
        <f aca="false">IF(D75=0,"",I75/D75)</f>
        <v>0.375</v>
      </c>
      <c r="K75" s="4" t="n">
        <f aca="false">IF(D75=0,"",E75/D75)</f>
        <v>0.75</v>
      </c>
      <c r="L75" s="2" t="n">
        <v>0</v>
      </c>
      <c r="M75" s="2" t="n">
        <v>3</v>
      </c>
      <c r="N75" s="2" t="n">
        <v>3</v>
      </c>
      <c r="O75" s="2"/>
    </row>
    <row r="76" customFormat="false" ht="15" hidden="false" customHeight="false" outlineLevel="0" collapsed="false">
      <c r="A76" s="2" t="s">
        <v>172</v>
      </c>
      <c r="B76" s="2" t="s">
        <v>173</v>
      </c>
      <c r="C76" s="2" t="s">
        <v>41</v>
      </c>
      <c r="D76" s="2" t="n">
        <v>8</v>
      </c>
      <c r="E76" s="2" t="n">
        <f aca="false">F76+G76+H76</f>
        <v>12</v>
      </c>
      <c r="F76" s="2" t="n">
        <v>4</v>
      </c>
      <c r="G76" s="2" t="n">
        <v>6</v>
      </c>
      <c r="H76" s="2" t="n">
        <v>2</v>
      </c>
      <c r="I76" s="2" t="n">
        <v>1</v>
      </c>
      <c r="J76" s="3" t="n">
        <f aca="false">IF(D76=0,"",I76/D76)</f>
        <v>0.125</v>
      </c>
      <c r="K76" s="4" t="n">
        <f aca="false">IF(D76=0,"",E76/D76)</f>
        <v>1.5</v>
      </c>
      <c r="L76" s="2" t="n">
        <v>8</v>
      </c>
      <c r="M76" s="2" t="n">
        <v>1</v>
      </c>
      <c r="N76" s="2" t="n">
        <v>1</v>
      </c>
      <c r="O76" s="2"/>
    </row>
    <row r="77" customFormat="false" ht="15" hidden="false" customHeight="false" outlineLevel="0" collapsed="false">
      <c r="A77" s="2" t="s">
        <v>174</v>
      </c>
      <c r="B77" s="2" t="s">
        <v>175</v>
      </c>
      <c r="C77" s="2" t="s">
        <v>41</v>
      </c>
      <c r="D77" s="2" t="n">
        <v>8</v>
      </c>
      <c r="E77" s="2" t="n">
        <f aca="false">F77+G77+H77</f>
        <v>11</v>
      </c>
      <c r="F77" s="2" t="n">
        <v>4</v>
      </c>
      <c r="G77" s="2" t="n">
        <v>6</v>
      </c>
      <c r="H77" s="2" t="n">
        <v>1</v>
      </c>
      <c r="I77" s="2" t="n">
        <v>0</v>
      </c>
      <c r="J77" s="3" t="n">
        <f aca="false">IF(D77=0,"",I77/D77)</f>
        <v>0</v>
      </c>
      <c r="K77" s="4" t="n">
        <f aca="false">IF(D77=0,"",E77/D77)</f>
        <v>1.375</v>
      </c>
      <c r="L77" s="2" t="n">
        <v>8</v>
      </c>
      <c r="M77" s="2" t="n">
        <v>2</v>
      </c>
      <c r="N77" s="2" t="n">
        <v>0</v>
      </c>
      <c r="O77" s="2"/>
    </row>
    <row r="78" customFormat="false" ht="15" hidden="false" customHeight="false" outlineLevel="0" collapsed="false">
      <c r="A78" s="2" t="s">
        <v>176</v>
      </c>
      <c r="B78" s="2" t="s">
        <v>177</v>
      </c>
      <c r="C78" s="2" t="s">
        <v>41</v>
      </c>
      <c r="D78" s="2" t="n">
        <v>8</v>
      </c>
      <c r="E78" s="2" t="n">
        <f aca="false">F78+G78+H78</f>
        <v>14</v>
      </c>
      <c r="F78" s="2" t="n">
        <v>6</v>
      </c>
      <c r="G78" s="2" t="n">
        <v>6</v>
      </c>
      <c r="H78" s="2" t="n">
        <v>2</v>
      </c>
      <c r="I78" s="2" t="n">
        <v>0</v>
      </c>
      <c r="J78" s="3" t="n">
        <f aca="false">IF(D78=0,"",I78/D78)</f>
        <v>0</v>
      </c>
      <c r="K78" s="4" t="n">
        <f aca="false">IF(D78=0,"",E78/D78)</f>
        <v>1.75</v>
      </c>
      <c r="L78" s="2" t="n">
        <v>8</v>
      </c>
      <c r="M78" s="2" t="n">
        <v>4</v>
      </c>
      <c r="N78" s="2" t="n">
        <v>0</v>
      </c>
      <c r="O78" s="2"/>
    </row>
    <row r="79" customFormat="false" ht="15" hidden="false" customHeight="false" outlineLevel="0" collapsed="false">
      <c r="A79" s="2" t="s">
        <v>178</v>
      </c>
      <c r="B79" s="2" t="s">
        <v>179</v>
      </c>
      <c r="C79" s="2" t="s">
        <v>51</v>
      </c>
      <c r="D79" s="2" t="n">
        <v>8</v>
      </c>
      <c r="E79" s="2" t="n">
        <f aca="false">F79+G79+H79</f>
        <v>3</v>
      </c>
      <c r="F79" s="2" t="n">
        <v>1</v>
      </c>
      <c r="G79" s="2" t="n">
        <v>2</v>
      </c>
      <c r="H79" s="2" t="n">
        <v>0</v>
      </c>
      <c r="I79" s="2" t="n">
        <v>4</v>
      </c>
      <c r="J79" s="3" t="n">
        <f aca="false">IF(D79=0,"",I79/D79)</f>
        <v>0.5</v>
      </c>
      <c r="K79" s="4" t="n">
        <f aca="false">IF(D79=0,"",E79/D79)</f>
        <v>0.375</v>
      </c>
      <c r="L79" s="2" t="n">
        <v>2</v>
      </c>
      <c r="M79" s="2" t="n">
        <v>0</v>
      </c>
      <c r="N79" s="2" t="n">
        <v>1</v>
      </c>
      <c r="O79" s="2"/>
    </row>
    <row r="80" customFormat="false" ht="15" hidden="false" customHeight="false" outlineLevel="0" collapsed="false">
      <c r="A80" s="2" t="s">
        <v>180</v>
      </c>
      <c r="B80" s="2" t="s">
        <v>181</v>
      </c>
      <c r="C80" s="2" t="s">
        <v>51</v>
      </c>
      <c r="D80" s="2" t="n">
        <v>8</v>
      </c>
      <c r="E80" s="2" t="n">
        <f aca="false">F80+G80+H80</f>
        <v>7</v>
      </c>
      <c r="F80" s="2" t="n">
        <v>3</v>
      </c>
      <c r="G80" s="2" t="n">
        <v>4</v>
      </c>
      <c r="H80" s="2" t="n">
        <v>0</v>
      </c>
      <c r="I80" s="2" t="n">
        <v>2</v>
      </c>
      <c r="J80" s="3" t="n">
        <f aca="false">IF(D80=0,"",I80/D80)</f>
        <v>0.25</v>
      </c>
      <c r="K80" s="4" t="n">
        <f aca="false">IF(D80=0,"",E80/D80)</f>
        <v>0.875</v>
      </c>
      <c r="L80" s="2" t="n">
        <v>1</v>
      </c>
      <c r="M80" s="2" t="n">
        <v>6</v>
      </c>
      <c r="N80" s="2" t="n">
        <v>0</v>
      </c>
      <c r="O80" s="2"/>
    </row>
    <row r="81" customFormat="false" ht="15" hidden="false" customHeight="false" outlineLevel="0" collapsed="false">
      <c r="A81" s="2" t="s">
        <v>182</v>
      </c>
      <c r="B81" s="2" t="s">
        <v>183</v>
      </c>
      <c r="C81" s="2" t="s">
        <v>41</v>
      </c>
      <c r="D81" s="2" t="n">
        <v>8</v>
      </c>
      <c r="E81" s="2" t="n">
        <f aca="false">F81+G81+H81</f>
        <v>12</v>
      </c>
      <c r="F81" s="2" t="n">
        <v>4</v>
      </c>
      <c r="G81" s="2" t="n">
        <v>6</v>
      </c>
      <c r="H81" s="2" t="n">
        <v>2</v>
      </c>
      <c r="I81" s="2" t="n">
        <v>0</v>
      </c>
      <c r="J81" s="3" t="n">
        <f aca="false">IF(D81=0,"",I81/D81)</f>
        <v>0</v>
      </c>
      <c r="K81" s="4" t="n">
        <f aca="false">IF(D81=0,"",E81/D81)</f>
        <v>1.5</v>
      </c>
      <c r="L81" s="2" t="n">
        <v>8</v>
      </c>
      <c r="M81" s="2" t="n">
        <v>2</v>
      </c>
      <c r="N81" s="2" t="n">
        <v>0</v>
      </c>
      <c r="O81" s="2"/>
    </row>
    <row r="82" customFormat="false" ht="15" hidden="false" customHeight="false" outlineLevel="0" collapsed="false">
      <c r="A82" s="2" t="s">
        <v>184</v>
      </c>
      <c r="B82" s="2" t="s">
        <v>185</v>
      </c>
      <c r="C82" s="2" t="s">
        <v>41</v>
      </c>
      <c r="D82" s="2" t="n">
        <v>8</v>
      </c>
      <c r="E82" s="2" t="n">
        <f aca="false">F82+G82+H82</f>
        <v>13</v>
      </c>
      <c r="F82" s="2" t="n">
        <v>4</v>
      </c>
      <c r="G82" s="2" t="n">
        <v>7</v>
      </c>
      <c r="H82" s="2" t="n">
        <v>2</v>
      </c>
      <c r="I82" s="2" t="n">
        <v>0</v>
      </c>
      <c r="J82" s="3" t="n">
        <f aca="false">IF(D82=0,"",I82/D82)</f>
        <v>0</v>
      </c>
      <c r="K82" s="4" t="n">
        <f aca="false">IF(D82=0,"",E82/D82)</f>
        <v>1.625</v>
      </c>
      <c r="L82" s="2" t="n">
        <v>9</v>
      </c>
      <c r="M82" s="2" t="n">
        <v>2</v>
      </c>
      <c r="N82" s="2" t="n">
        <v>0</v>
      </c>
      <c r="O82" s="2"/>
    </row>
    <row r="83" customFormat="false" ht="15" hidden="false" customHeight="false" outlineLevel="0" collapsed="false">
      <c r="A83" s="2" t="s">
        <v>186</v>
      </c>
      <c r="B83" s="2" t="s">
        <v>187</v>
      </c>
      <c r="C83" s="2" t="s">
        <v>51</v>
      </c>
      <c r="D83" s="2" t="n">
        <v>8</v>
      </c>
      <c r="E83" s="2" t="n">
        <f aca="false">F83+G83+H83</f>
        <v>5</v>
      </c>
      <c r="F83" s="2" t="n">
        <v>4</v>
      </c>
      <c r="G83" s="2" t="n">
        <v>1</v>
      </c>
      <c r="H83" s="2" t="n">
        <v>0</v>
      </c>
      <c r="I83" s="2" t="n">
        <v>1</v>
      </c>
      <c r="J83" s="3" t="n">
        <f aca="false">IF(D83=0,"",I83/D83)</f>
        <v>0.125</v>
      </c>
      <c r="K83" s="4" t="n">
        <f aca="false">IF(D83=0,"",E83/D83)</f>
        <v>0.625</v>
      </c>
      <c r="L83" s="2" t="n">
        <v>3</v>
      </c>
      <c r="M83" s="2" t="n">
        <v>2</v>
      </c>
      <c r="N83" s="2" t="n">
        <v>0</v>
      </c>
      <c r="O83" s="2"/>
    </row>
    <row r="84" customFormat="false" ht="15" hidden="false" customHeight="false" outlineLevel="0" collapsed="false">
      <c r="A84" s="2" t="s">
        <v>188</v>
      </c>
      <c r="B84" s="2" t="s">
        <v>189</v>
      </c>
      <c r="C84" s="2" t="s">
        <v>51</v>
      </c>
      <c r="D84" s="2" t="n">
        <v>8</v>
      </c>
      <c r="E84" s="2" t="n">
        <f aca="false">F84+G84+H84</f>
        <v>3</v>
      </c>
      <c r="F84" s="2" t="n">
        <v>1</v>
      </c>
      <c r="G84" s="2" t="n">
        <v>1</v>
      </c>
      <c r="H84" s="2" t="n">
        <v>1</v>
      </c>
      <c r="I84" s="2" t="n">
        <v>4</v>
      </c>
      <c r="J84" s="3" t="n">
        <f aca="false">IF(D84=0,"",I84/D84)</f>
        <v>0.5</v>
      </c>
      <c r="K84" s="4" t="n">
        <f aca="false">IF(D84=0,"",E84/D84)</f>
        <v>0.375</v>
      </c>
      <c r="L84" s="2" t="n">
        <v>2</v>
      </c>
      <c r="M84" s="2" t="n">
        <v>0</v>
      </c>
      <c r="N84" s="2" t="n">
        <v>0</v>
      </c>
      <c r="O84" s="2"/>
    </row>
    <row r="85" customFormat="false" ht="15" hidden="false" customHeight="false" outlineLevel="0" collapsed="false">
      <c r="A85" s="2" t="s">
        <v>190</v>
      </c>
      <c r="B85" s="2" t="s">
        <v>191</v>
      </c>
      <c r="C85" s="2" t="s">
        <v>41</v>
      </c>
      <c r="D85" s="2" t="n">
        <v>8</v>
      </c>
      <c r="E85" s="2" t="n">
        <f aca="false">F85+G85+H85</f>
        <v>12</v>
      </c>
      <c r="F85" s="2" t="n">
        <v>4</v>
      </c>
      <c r="G85" s="2" t="n">
        <v>6</v>
      </c>
      <c r="H85" s="2" t="n">
        <v>2</v>
      </c>
      <c r="I85" s="2" t="n">
        <v>0</v>
      </c>
      <c r="J85" s="3" t="n">
        <f aca="false">IF(D85=0,"",I85/D85)</f>
        <v>0</v>
      </c>
      <c r="K85" s="4" t="n">
        <f aca="false">IF(D85=0,"",E85/D85)</f>
        <v>1.5</v>
      </c>
      <c r="L85" s="2" t="n">
        <v>9</v>
      </c>
      <c r="M85" s="2" t="n">
        <v>1</v>
      </c>
      <c r="N85" s="2" t="n">
        <v>0</v>
      </c>
      <c r="O85" s="2"/>
    </row>
    <row r="86" customFormat="false" ht="15" hidden="false" customHeight="false" outlineLevel="0" collapsed="false">
      <c r="A86" s="2" t="s">
        <v>192</v>
      </c>
      <c r="B86" s="2" t="s">
        <v>193</v>
      </c>
      <c r="C86" s="2" t="s">
        <v>41</v>
      </c>
      <c r="D86" s="2" t="n">
        <v>8</v>
      </c>
      <c r="E86" s="2" t="n">
        <f aca="false">F86+G86+H86</f>
        <v>13</v>
      </c>
      <c r="F86" s="2" t="n">
        <v>4</v>
      </c>
      <c r="G86" s="2" t="n">
        <v>7</v>
      </c>
      <c r="H86" s="2" t="n">
        <v>2</v>
      </c>
      <c r="I86" s="2" t="n">
        <v>0</v>
      </c>
      <c r="J86" s="3" t="n">
        <f aca="false">IF(D86=0,"",I86/D86)</f>
        <v>0</v>
      </c>
      <c r="K86" s="4" t="n">
        <f aca="false">IF(D86=0,"",E86/D86)</f>
        <v>1.625</v>
      </c>
      <c r="L86" s="2" t="n">
        <v>6</v>
      </c>
      <c r="M86" s="2" t="n">
        <v>5</v>
      </c>
      <c r="N86" s="2" t="n">
        <v>0</v>
      </c>
      <c r="O86" s="2"/>
    </row>
    <row r="87" customFormat="false" ht="15" hidden="false" customHeight="false" outlineLevel="0" collapsed="false">
      <c r="A87" s="2" t="s">
        <v>194</v>
      </c>
      <c r="B87" s="2" t="s">
        <v>195</v>
      </c>
      <c r="C87" s="2" t="s">
        <v>51</v>
      </c>
      <c r="D87" s="2" t="n">
        <v>8</v>
      </c>
      <c r="E87" s="2" t="n">
        <f aca="false">F87+G87+H87</f>
        <v>7</v>
      </c>
      <c r="F87" s="2" t="n">
        <v>5</v>
      </c>
      <c r="G87" s="2" t="n">
        <v>1</v>
      </c>
      <c r="H87" s="2" t="n">
        <v>1</v>
      </c>
      <c r="I87" s="2" t="n">
        <v>0</v>
      </c>
      <c r="J87" s="3" t="n">
        <f aca="false">IF(D87=0,"",I87/D87)</f>
        <v>0</v>
      </c>
      <c r="K87" s="4" t="n">
        <f aca="false">IF(D87=0,"",E87/D87)</f>
        <v>0.875</v>
      </c>
      <c r="L87" s="2" t="n">
        <v>0</v>
      </c>
      <c r="M87" s="2" t="n">
        <v>5</v>
      </c>
      <c r="N87" s="2" t="n">
        <v>1</v>
      </c>
      <c r="O87" s="2"/>
    </row>
    <row r="88" customFormat="false" ht="15" hidden="false" customHeight="false" outlineLevel="0" collapsed="false">
      <c r="A88" s="2" t="s">
        <v>196</v>
      </c>
      <c r="B88" s="2" t="s">
        <v>197</v>
      </c>
      <c r="C88" s="2" t="s">
        <v>41</v>
      </c>
      <c r="D88" s="2" t="n">
        <v>8</v>
      </c>
      <c r="E88" s="2" t="n">
        <f aca="false">F88+G88+H88</f>
        <v>11</v>
      </c>
      <c r="F88" s="2" t="n">
        <v>3</v>
      </c>
      <c r="G88" s="2" t="n">
        <v>8</v>
      </c>
      <c r="H88" s="2" t="n">
        <v>0</v>
      </c>
      <c r="I88" s="2" t="n">
        <v>0</v>
      </c>
      <c r="J88" s="3" t="n">
        <f aca="false">IF(D88=0,"",I88/D88)</f>
        <v>0</v>
      </c>
      <c r="K88" s="4" t="n">
        <f aca="false">IF(D88=0,"",E88/D88)</f>
        <v>1.375</v>
      </c>
      <c r="L88" s="2" t="n">
        <v>6</v>
      </c>
      <c r="M88" s="2" t="n">
        <v>5</v>
      </c>
      <c r="N88" s="2" t="n">
        <v>0</v>
      </c>
      <c r="O88" s="2"/>
    </row>
    <row r="89" customFormat="false" ht="15" hidden="false" customHeight="false" outlineLevel="0" collapsed="false">
      <c r="A89" s="2" t="s">
        <v>198</v>
      </c>
      <c r="B89" s="2" t="s">
        <v>199</v>
      </c>
      <c r="C89" s="2" t="s">
        <v>41</v>
      </c>
      <c r="D89" s="2" t="n">
        <v>8</v>
      </c>
      <c r="E89" s="2" t="n">
        <f aca="false">F89+G89+H89</f>
        <v>13</v>
      </c>
      <c r="F89" s="2" t="n">
        <v>4</v>
      </c>
      <c r="G89" s="2" t="n">
        <v>7</v>
      </c>
      <c r="H89" s="2" t="n">
        <v>2</v>
      </c>
      <c r="I89" s="2" t="n">
        <v>0</v>
      </c>
      <c r="J89" s="3" t="n">
        <f aca="false">IF(D89=0,"",I89/D89)</f>
        <v>0</v>
      </c>
      <c r="K89" s="4" t="n">
        <f aca="false">IF(D89=0,"",E89/D89)</f>
        <v>1.625</v>
      </c>
      <c r="L89" s="2" t="n">
        <v>7</v>
      </c>
      <c r="M89" s="2" t="n">
        <v>3</v>
      </c>
      <c r="N89" s="2" t="n">
        <v>1</v>
      </c>
      <c r="O89" s="2"/>
    </row>
    <row r="90" customFormat="false" ht="15" hidden="false" customHeight="false" outlineLevel="0" collapsed="false">
      <c r="A90" s="2" t="s">
        <v>200</v>
      </c>
      <c r="B90" s="2" t="s">
        <v>201</v>
      </c>
      <c r="C90" s="2" t="s">
        <v>41</v>
      </c>
      <c r="D90" s="2" t="n">
        <v>8</v>
      </c>
      <c r="E90" s="2" t="n">
        <f aca="false">F90+G90+H90</f>
        <v>12</v>
      </c>
      <c r="F90" s="2" t="n">
        <v>3</v>
      </c>
      <c r="G90" s="2" t="n">
        <v>7</v>
      </c>
      <c r="H90" s="2" t="n">
        <v>2</v>
      </c>
      <c r="I90" s="2" t="n">
        <v>1</v>
      </c>
      <c r="J90" s="3" t="n">
        <f aca="false">IF(D90=0,"",I90/D90)</f>
        <v>0.125</v>
      </c>
      <c r="K90" s="4" t="n">
        <f aca="false">IF(D90=0,"",E90/D90)</f>
        <v>1.5</v>
      </c>
      <c r="L90" s="2" t="n">
        <v>7</v>
      </c>
      <c r="M90" s="2" t="n">
        <v>3</v>
      </c>
      <c r="N90" s="2" t="n">
        <v>0</v>
      </c>
      <c r="O90" s="2"/>
    </row>
    <row r="91" customFormat="false" ht="15" hidden="false" customHeight="false" outlineLevel="0" collapsed="false">
      <c r="A91" s="2" t="s">
        <v>202</v>
      </c>
      <c r="B91" s="2" t="s">
        <v>203</v>
      </c>
      <c r="C91" s="2" t="s">
        <v>51</v>
      </c>
      <c r="D91" s="2" t="n">
        <v>8</v>
      </c>
      <c r="E91" s="2" t="n">
        <f aca="false">F91+G91+H91</f>
        <v>4</v>
      </c>
      <c r="F91" s="2" t="n">
        <v>0</v>
      </c>
      <c r="G91" s="2" t="n">
        <v>4</v>
      </c>
      <c r="H91" s="2" t="n">
        <v>0</v>
      </c>
      <c r="I91" s="2" t="n">
        <v>5</v>
      </c>
      <c r="J91" s="3" t="n">
        <f aca="false">IF(D91=0,"",I91/D91)</f>
        <v>0.625</v>
      </c>
      <c r="K91" s="4" t="n">
        <f aca="false">IF(D91=0,"",E91/D91)</f>
        <v>0.5</v>
      </c>
      <c r="L91" s="2" t="n">
        <v>1</v>
      </c>
      <c r="M91" s="2" t="n">
        <v>2</v>
      </c>
      <c r="N91" s="2" t="n">
        <v>1</v>
      </c>
      <c r="O91" s="2"/>
    </row>
    <row r="92" customFormat="false" ht="15" hidden="false" customHeight="false" outlineLevel="0" collapsed="false">
      <c r="A92" s="2" t="s">
        <v>204</v>
      </c>
      <c r="B92" s="2" t="s">
        <v>205</v>
      </c>
      <c r="C92" s="2" t="s">
        <v>41</v>
      </c>
      <c r="D92" s="2" t="n">
        <v>8</v>
      </c>
      <c r="E92" s="2" t="n">
        <f aca="false">F92+G92+H92</f>
        <v>13</v>
      </c>
      <c r="F92" s="2" t="n">
        <v>4</v>
      </c>
      <c r="G92" s="2" t="n">
        <v>7</v>
      </c>
      <c r="H92" s="2" t="n">
        <v>2</v>
      </c>
      <c r="I92" s="2" t="n">
        <v>0</v>
      </c>
      <c r="J92" s="3" t="n">
        <f aca="false">IF(D92=0,"",I92/D92)</f>
        <v>0</v>
      </c>
      <c r="K92" s="4" t="n">
        <f aca="false">IF(D92=0,"",E92/D92)</f>
        <v>1.625</v>
      </c>
      <c r="L92" s="2" t="n">
        <v>6</v>
      </c>
      <c r="M92" s="2" t="n">
        <v>5</v>
      </c>
      <c r="N92" s="2" t="n">
        <v>0</v>
      </c>
      <c r="O92" s="2"/>
    </row>
    <row r="93" customFormat="false" ht="15" hidden="false" customHeight="false" outlineLevel="0" collapsed="false">
      <c r="A93" s="2" t="s">
        <v>206</v>
      </c>
      <c r="B93" s="2" t="s">
        <v>207</v>
      </c>
      <c r="C93" s="2" t="s">
        <v>51</v>
      </c>
      <c r="D93" s="2" t="n">
        <v>8</v>
      </c>
      <c r="E93" s="2" t="n">
        <f aca="false">F93+G93+H93</f>
        <v>5</v>
      </c>
      <c r="F93" s="2" t="n">
        <v>1</v>
      </c>
      <c r="G93" s="2" t="n">
        <v>4</v>
      </c>
      <c r="H93" s="2" t="n">
        <v>0</v>
      </c>
      <c r="I93" s="2" t="n">
        <v>2</v>
      </c>
      <c r="J93" s="3" t="n">
        <f aca="false">IF(D93=0,"",I93/D93)</f>
        <v>0.25</v>
      </c>
      <c r="K93" s="4" t="n">
        <f aca="false">IF(D93=0,"",E93/D93)</f>
        <v>0.625</v>
      </c>
      <c r="L93" s="2" t="n">
        <v>1</v>
      </c>
      <c r="M93" s="2" t="n">
        <v>3</v>
      </c>
      <c r="N93" s="2" t="n">
        <v>1</v>
      </c>
      <c r="O93" s="2"/>
    </row>
    <row r="94" customFormat="false" ht="15" hidden="false" customHeight="false" outlineLevel="0" collapsed="false">
      <c r="A94" s="2" t="s">
        <v>208</v>
      </c>
      <c r="B94" s="2" t="s">
        <v>209</v>
      </c>
      <c r="C94" s="2" t="s">
        <v>41</v>
      </c>
      <c r="D94" s="2" t="n">
        <v>7</v>
      </c>
      <c r="E94" s="2" t="n">
        <f aca="false">F94+G94+H94</f>
        <v>12</v>
      </c>
      <c r="F94" s="2" t="n">
        <v>4</v>
      </c>
      <c r="G94" s="2" t="n">
        <v>6</v>
      </c>
      <c r="H94" s="2" t="n">
        <v>2</v>
      </c>
      <c r="I94" s="2" t="n">
        <v>0</v>
      </c>
      <c r="J94" s="3" t="n">
        <f aca="false">IF(D94=0,"",I94/D94)</f>
        <v>0</v>
      </c>
      <c r="K94" s="4" t="n">
        <f aca="false">IF(D94=0,"",E94/D94)</f>
        <v>1.71428571428571</v>
      </c>
      <c r="L94" s="2" t="n">
        <v>7</v>
      </c>
      <c r="M94" s="2" t="n">
        <v>3</v>
      </c>
      <c r="N94" s="2" t="n">
        <v>0</v>
      </c>
      <c r="O94" s="2"/>
    </row>
    <row r="95" customFormat="false" ht="15" hidden="false" customHeight="false" outlineLevel="0" collapsed="false">
      <c r="A95" s="2" t="s">
        <v>210</v>
      </c>
      <c r="B95" s="2" t="s">
        <v>211</v>
      </c>
      <c r="C95" s="2" t="s">
        <v>41</v>
      </c>
      <c r="D95" s="2" t="n">
        <v>7</v>
      </c>
      <c r="E95" s="2" t="n">
        <f aca="false">F95+G95+H95</f>
        <v>13</v>
      </c>
      <c r="F95" s="2" t="n">
        <v>5</v>
      </c>
      <c r="G95" s="2" t="n">
        <v>6</v>
      </c>
      <c r="H95" s="2" t="n">
        <v>2</v>
      </c>
      <c r="I95" s="2" t="n">
        <v>0</v>
      </c>
      <c r="J95" s="3" t="n">
        <f aca="false">IF(D95=0,"",I95/D95)</f>
        <v>0</v>
      </c>
      <c r="K95" s="4" t="n">
        <f aca="false">IF(D95=0,"",E95/D95)</f>
        <v>1.85714285714286</v>
      </c>
      <c r="L95" s="2" t="n">
        <v>8</v>
      </c>
      <c r="M95" s="2" t="n">
        <v>2</v>
      </c>
      <c r="N95" s="2" t="n">
        <v>1</v>
      </c>
      <c r="O95" s="2"/>
    </row>
    <row r="96" customFormat="false" ht="15" hidden="false" customHeight="false" outlineLevel="0" collapsed="false">
      <c r="A96" s="2" t="s">
        <v>212</v>
      </c>
      <c r="B96" s="2" t="s">
        <v>213</v>
      </c>
      <c r="C96" s="2" t="s">
        <v>41</v>
      </c>
      <c r="D96" s="2" t="n">
        <v>7</v>
      </c>
      <c r="E96" s="2" t="n">
        <f aca="false">F96+G96+H96</f>
        <v>7</v>
      </c>
      <c r="F96" s="2" t="n">
        <v>3</v>
      </c>
      <c r="G96" s="2" t="n">
        <v>3</v>
      </c>
      <c r="H96" s="2" t="n">
        <v>1</v>
      </c>
      <c r="I96" s="2" t="n">
        <v>1</v>
      </c>
      <c r="J96" s="3" t="n">
        <f aca="false">IF(D96=0,"",I96/D96)</f>
        <v>0.142857142857143</v>
      </c>
      <c r="K96" s="4" t="n">
        <f aca="false">IF(D96=0,"",E96/D96)</f>
        <v>1</v>
      </c>
      <c r="L96" s="2" t="n">
        <v>2</v>
      </c>
      <c r="M96" s="2" t="n">
        <v>2</v>
      </c>
      <c r="N96" s="2" t="n">
        <v>2</v>
      </c>
      <c r="O96" s="2"/>
    </row>
    <row r="97" customFormat="false" ht="15" hidden="false" customHeight="false" outlineLevel="0" collapsed="false">
      <c r="A97" s="2" t="s">
        <v>214</v>
      </c>
      <c r="B97" s="2" t="s">
        <v>215</v>
      </c>
      <c r="C97" s="2" t="s">
        <v>51</v>
      </c>
      <c r="D97" s="2" t="n">
        <v>7</v>
      </c>
      <c r="E97" s="2" t="n">
        <f aca="false">F97+G97+H97</f>
        <v>5</v>
      </c>
      <c r="F97" s="2" t="n">
        <v>2</v>
      </c>
      <c r="G97" s="2" t="n">
        <v>3</v>
      </c>
      <c r="H97" s="2" t="n">
        <v>0</v>
      </c>
      <c r="I97" s="2" t="n">
        <v>2</v>
      </c>
      <c r="J97" s="3" t="n">
        <f aca="false">IF(D97=0,"",I97/D97)</f>
        <v>0.285714285714286</v>
      </c>
      <c r="K97" s="4" t="n">
        <f aca="false">IF(D97=0,"",E97/D97)</f>
        <v>0.714285714285714</v>
      </c>
      <c r="L97" s="2" t="n">
        <v>1</v>
      </c>
      <c r="M97" s="2" t="n">
        <v>4</v>
      </c>
      <c r="N97" s="2" t="n">
        <v>0</v>
      </c>
      <c r="O97" s="2"/>
    </row>
    <row r="98" customFormat="false" ht="15" hidden="false" customHeight="false" outlineLevel="0" collapsed="false">
      <c r="A98" s="2" t="s">
        <v>216</v>
      </c>
      <c r="B98" s="2" t="s">
        <v>217</v>
      </c>
      <c r="C98" s="2" t="s">
        <v>51</v>
      </c>
      <c r="D98" s="2" t="n">
        <v>7</v>
      </c>
      <c r="E98" s="2" t="n">
        <f aca="false">F98+G98+H98</f>
        <v>4</v>
      </c>
      <c r="F98" s="2" t="n">
        <v>2</v>
      </c>
      <c r="G98" s="2" t="n">
        <v>1</v>
      </c>
      <c r="H98" s="2" t="n">
        <v>1</v>
      </c>
      <c r="I98" s="2" t="n">
        <v>2</v>
      </c>
      <c r="J98" s="3" t="n">
        <f aca="false">IF(D98=0,"",I98/D98)</f>
        <v>0.285714285714286</v>
      </c>
      <c r="K98" s="4" t="n">
        <f aca="false">IF(D98=0,"",E98/D98)</f>
        <v>0.571428571428571</v>
      </c>
      <c r="L98" s="2" t="n">
        <v>2</v>
      </c>
      <c r="M98" s="2" t="n">
        <v>0</v>
      </c>
      <c r="N98" s="2" t="n">
        <v>1</v>
      </c>
      <c r="O98" s="2"/>
    </row>
    <row r="99" customFormat="false" ht="15" hidden="false" customHeight="false" outlineLevel="0" collapsed="false">
      <c r="A99" s="2" t="s">
        <v>218</v>
      </c>
      <c r="B99" s="2" t="s">
        <v>219</v>
      </c>
      <c r="C99" s="2" t="s">
        <v>51</v>
      </c>
      <c r="D99" s="2" t="n">
        <v>7</v>
      </c>
      <c r="E99" s="2" t="n">
        <f aca="false">F99+G99+H99</f>
        <v>5</v>
      </c>
      <c r="F99" s="2" t="n">
        <v>2</v>
      </c>
      <c r="G99" s="2" t="n">
        <v>2</v>
      </c>
      <c r="H99" s="2" t="n">
        <v>1</v>
      </c>
      <c r="I99" s="2" t="n">
        <v>1</v>
      </c>
      <c r="J99" s="3" t="n">
        <f aca="false">IF(D99=0,"",I99/D99)</f>
        <v>0.142857142857143</v>
      </c>
      <c r="K99" s="4" t="n">
        <f aca="false">IF(D99=0,"",E99/D99)</f>
        <v>0.714285714285714</v>
      </c>
      <c r="L99" s="2" t="n">
        <v>2</v>
      </c>
      <c r="M99" s="2" t="n">
        <v>1</v>
      </c>
      <c r="N99" s="2" t="n">
        <v>1</v>
      </c>
      <c r="O99" s="2"/>
    </row>
    <row r="100" customFormat="false" ht="15" hidden="false" customHeight="false" outlineLevel="0" collapsed="false">
      <c r="A100" s="2" t="s">
        <v>220</v>
      </c>
      <c r="B100" s="2" t="s">
        <v>221</v>
      </c>
      <c r="C100" s="2" t="s">
        <v>51</v>
      </c>
      <c r="D100" s="2" t="n">
        <v>7</v>
      </c>
      <c r="E100" s="2" t="n">
        <f aca="false">F100+G100+H100</f>
        <v>8</v>
      </c>
      <c r="F100" s="2" t="n">
        <v>3</v>
      </c>
      <c r="G100" s="2" t="n">
        <v>5</v>
      </c>
      <c r="H100" s="2" t="n">
        <v>0</v>
      </c>
      <c r="I100" s="2" t="n">
        <v>1</v>
      </c>
      <c r="J100" s="3" t="n">
        <f aca="false">IF(D100=0,"",I100/D100)</f>
        <v>0.142857142857143</v>
      </c>
      <c r="K100" s="4" t="n">
        <f aca="false">IF(D100=0,"",E100/D100)</f>
        <v>1.14285714285714</v>
      </c>
      <c r="L100" s="2" t="n">
        <v>4</v>
      </c>
      <c r="M100" s="2" t="n">
        <v>3</v>
      </c>
      <c r="N100" s="2" t="n">
        <v>1</v>
      </c>
      <c r="O100" s="2"/>
    </row>
    <row r="101" customFormat="false" ht="15" hidden="false" customHeight="false" outlineLevel="0" collapsed="false">
      <c r="A101" s="2" t="s">
        <v>222</v>
      </c>
      <c r="B101" s="2" t="s">
        <v>223</v>
      </c>
      <c r="C101" s="2" t="s">
        <v>51</v>
      </c>
      <c r="D101" s="2" t="n">
        <v>7</v>
      </c>
      <c r="E101" s="2" t="n">
        <f aca="false">F101+G101+H101</f>
        <v>5</v>
      </c>
      <c r="F101" s="2" t="n">
        <v>3</v>
      </c>
      <c r="G101" s="2" t="n">
        <v>1</v>
      </c>
      <c r="H101" s="2" t="n">
        <v>1</v>
      </c>
      <c r="I101" s="2" t="n">
        <v>2</v>
      </c>
      <c r="J101" s="3" t="n">
        <f aca="false">IF(D101=0,"",I101/D101)</f>
        <v>0.285714285714286</v>
      </c>
      <c r="K101" s="4" t="n">
        <f aca="false">IF(D101=0,"",E101/D101)</f>
        <v>0.714285714285714</v>
      </c>
      <c r="L101" s="2" t="n">
        <v>1</v>
      </c>
      <c r="M101" s="2" t="n">
        <v>2</v>
      </c>
      <c r="N101" s="2" t="n">
        <v>1</v>
      </c>
      <c r="O101" s="2"/>
    </row>
    <row r="102" customFormat="false" ht="15" hidden="false" customHeight="false" outlineLevel="0" collapsed="false">
      <c r="A102" s="2" t="s">
        <v>224</v>
      </c>
      <c r="B102" s="2" t="s">
        <v>225</v>
      </c>
      <c r="C102" s="2" t="s">
        <v>51</v>
      </c>
      <c r="D102" s="2" t="n">
        <v>7</v>
      </c>
      <c r="E102" s="2" t="n">
        <f aca="false">F102+G102+H102</f>
        <v>4</v>
      </c>
      <c r="F102" s="2" t="n">
        <v>2</v>
      </c>
      <c r="G102" s="2" t="n">
        <v>1</v>
      </c>
      <c r="H102" s="2" t="n">
        <v>1</v>
      </c>
      <c r="I102" s="2" t="n">
        <v>1</v>
      </c>
      <c r="J102" s="3" t="n">
        <f aca="false">IF(D102=0,"",I102/D102)</f>
        <v>0.142857142857143</v>
      </c>
      <c r="K102" s="4" t="n">
        <f aca="false">IF(D102=0,"",E102/D102)</f>
        <v>0.571428571428571</v>
      </c>
      <c r="L102" s="2" t="n">
        <v>2</v>
      </c>
      <c r="M102" s="2" t="n">
        <v>1</v>
      </c>
      <c r="N102" s="2" t="n">
        <v>0</v>
      </c>
      <c r="O102" s="2"/>
    </row>
    <row r="103" customFormat="false" ht="15" hidden="false" customHeight="false" outlineLevel="0" collapsed="false">
      <c r="A103" s="2" t="s">
        <v>226</v>
      </c>
      <c r="B103" s="2" t="s">
        <v>227</v>
      </c>
      <c r="C103" s="2" t="s">
        <v>51</v>
      </c>
      <c r="D103" s="2" t="n">
        <v>6</v>
      </c>
      <c r="E103" s="2" t="n">
        <f aca="false">F103+G103+H103</f>
        <v>5</v>
      </c>
      <c r="F103" s="2" t="n">
        <v>2</v>
      </c>
      <c r="G103" s="2" t="n">
        <v>3</v>
      </c>
      <c r="H103" s="2" t="n">
        <v>0</v>
      </c>
      <c r="I103" s="2" t="n">
        <v>1</v>
      </c>
      <c r="J103" s="3" t="n">
        <f aca="false">IF(D103=0,"",I103/D103)</f>
        <v>0.166666666666667</v>
      </c>
      <c r="K103" s="4" t="n">
        <f aca="false">IF(D103=0,"",E103/D103)</f>
        <v>0.833333333333333</v>
      </c>
      <c r="L103" s="2" t="n">
        <v>1</v>
      </c>
      <c r="M103" s="2" t="n">
        <v>3</v>
      </c>
      <c r="N103" s="2" t="n">
        <v>1</v>
      </c>
      <c r="O103" s="2"/>
    </row>
    <row r="104" customFormat="false" ht="15" hidden="false" customHeight="false" outlineLevel="0" collapsed="false">
      <c r="A104" s="2" t="s">
        <v>228</v>
      </c>
      <c r="B104" s="2" t="s">
        <v>228</v>
      </c>
      <c r="C104" s="2" t="s">
        <v>51</v>
      </c>
      <c r="D104" s="2" t="n">
        <v>6</v>
      </c>
      <c r="E104" s="2" t="n">
        <f aca="false">F104+G104+H104</f>
        <v>6</v>
      </c>
      <c r="F104" s="2" t="n">
        <v>3</v>
      </c>
      <c r="G104" s="2" t="n">
        <v>3</v>
      </c>
      <c r="H104" s="2" t="n">
        <v>0</v>
      </c>
      <c r="I104" s="2" t="n">
        <v>1</v>
      </c>
      <c r="J104" s="3" t="n">
        <f aca="false">IF(D104=0,"",I104/D104)</f>
        <v>0.166666666666667</v>
      </c>
      <c r="K104" s="4" t="n">
        <f aca="false">IF(D104=0,"",E104/D104)</f>
        <v>1</v>
      </c>
      <c r="L104" s="2" t="n">
        <v>2</v>
      </c>
      <c r="M104" s="2" t="n">
        <v>3</v>
      </c>
      <c r="N104" s="2" t="n">
        <v>1</v>
      </c>
      <c r="O104" s="2"/>
    </row>
    <row r="105" customFormat="false" ht="15" hidden="false" customHeight="false" outlineLevel="0" collapsed="false">
      <c r="A105" s="2" t="s">
        <v>229</v>
      </c>
      <c r="B105" s="2" t="s">
        <v>230</v>
      </c>
      <c r="C105" s="2" t="s">
        <v>51</v>
      </c>
      <c r="D105" s="2" t="n">
        <v>6</v>
      </c>
      <c r="E105" s="2" t="n">
        <f aca="false">F105+G105+H105</f>
        <v>4</v>
      </c>
      <c r="F105" s="2" t="n">
        <v>1</v>
      </c>
      <c r="G105" s="2" t="n">
        <v>2</v>
      </c>
      <c r="H105" s="2" t="n">
        <v>1</v>
      </c>
      <c r="I105" s="2" t="n">
        <v>3</v>
      </c>
      <c r="J105" s="3" t="n">
        <f aca="false">IF(D105=0,"",I105/D105)</f>
        <v>0.5</v>
      </c>
      <c r="K105" s="4" t="n">
        <f aca="false">IF(D105=0,"",E105/D105)</f>
        <v>0.666666666666667</v>
      </c>
      <c r="L105" s="2" t="n">
        <v>0</v>
      </c>
      <c r="M105" s="2" t="n">
        <v>1</v>
      </c>
      <c r="N105" s="2" t="n">
        <v>2</v>
      </c>
      <c r="O105" s="2"/>
    </row>
    <row r="106" customFormat="false" ht="15" hidden="false" customHeight="false" outlineLevel="0" collapsed="false">
      <c r="A106" s="2" t="s">
        <v>231</v>
      </c>
      <c r="B106" s="2" t="s">
        <v>232</v>
      </c>
      <c r="C106" s="2" t="s">
        <v>86</v>
      </c>
      <c r="D106" s="2" t="n">
        <v>6</v>
      </c>
      <c r="E106" s="2" t="n">
        <f aca="false">F106+G106+H106</f>
        <v>11</v>
      </c>
      <c r="F106" s="2" t="n">
        <v>3</v>
      </c>
      <c r="G106" s="2" t="n">
        <v>8</v>
      </c>
      <c r="H106" s="2" t="n">
        <v>0</v>
      </c>
      <c r="I106" s="2" t="n">
        <v>0</v>
      </c>
      <c r="J106" s="3" t="n">
        <f aca="false">IF(D106=0,"",I106/D106)</f>
        <v>0</v>
      </c>
      <c r="K106" s="4" t="n">
        <f aca="false">IF(D106=0,"",E106/D106)</f>
        <v>1.83333333333333</v>
      </c>
      <c r="L106" s="2" t="n">
        <v>6</v>
      </c>
      <c r="M106" s="2" t="n">
        <v>4</v>
      </c>
      <c r="N106" s="2" t="n">
        <v>1</v>
      </c>
      <c r="O106" s="2"/>
    </row>
    <row r="107" customFormat="false" ht="15" hidden="false" customHeight="false" outlineLevel="0" collapsed="false">
      <c r="A107" s="2" t="s">
        <v>233</v>
      </c>
      <c r="B107" s="2" t="s">
        <v>234</v>
      </c>
      <c r="C107" s="2" t="s">
        <v>51</v>
      </c>
      <c r="D107" s="2" t="n">
        <v>6</v>
      </c>
      <c r="E107" s="2" t="n">
        <f aca="false">F107+G107+H107</f>
        <v>4</v>
      </c>
      <c r="F107" s="2" t="n">
        <v>1</v>
      </c>
      <c r="G107" s="2" t="n">
        <v>1</v>
      </c>
      <c r="H107" s="2" t="n">
        <v>2</v>
      </c>
      <c r="I107" s="2" t="n">
        <v>2</v>
      </c>
      <c r="J107" s="3" t="n">
        <f aca="false">IF(D107=0,"",I107/D107)</f>
        <v>0.333333333333333</v>
      </c>
      <c r="K107" s="4" t="n">
        <f aca="false">IF(D107=0,"",E107/D107)</f>
        <v>0.666666666666667</v>
      </c>
      <c r="L107" s="2" t="n">
        <v>1</v>
      </c>
      <c r="M107" s="2" t="n">
        <v>1</v>
      </c>
      <c r="N107" s="2" t="n">
        <v>0</v>
      </c>
      <c r="O107" s="2"/>
    </row>
    <row r="108" customFormat="false" ht="15" hidden="false" customHeight="false" outlineLevel="0" collapsed="false">
      <c r="A108" s="2" t="s">
        <v>235</v>
      </c>
      <c r="B108" s="2" t="s">
        <v>236</v>
      </c>
      <c r="C108" s="2" t="s">
        <v>51</v>
      </c>
      <c r="D108" s="2" t="n">
        <v>6</v>
      </c>
      <c r="E108" s="2" t="n">
        <f aca="false">F108+G108+H108</f>
        <v>6</v>
      </c>
      <c r="F108" s="2" t="n">
        <v>3</v>
      </c>
      <c r="G108" s="2" t="n">
        <v>2</v>
      </c>
      <c r="H108" s="2" t="n">
        <v>1</v>
      </c>
      <c r="I108" s="2" t="n">
        <v>1</v>
      </c>
      <c r="J108" s="3" t="n">
        <f aca="false">IF(D108=0,"",I108/D108)</f>
        <v>0.166666666666667</v>
      </c>
      <c r="K108" s="4" t="n">
        <f aca="false">IF(D108=0,"",E108/D108)</f>
        <v>1</v>
      </c>
      <c r="L108" s="2" t="n">
        <v>0</v>
      </c>
      <c r="M108" s="2" t="n">
        <v>0</v>
      </c>
      <c r="N108" s="2" t="n">
        <v>5</v>
      </c>
      <c r="O108" s="2"/>
    </row>
    <row r="109" customFormat="false" ht="15" hidden="false" customHeight="false" outlineLevel="0" collapsed="false">
      <c r="A109" s="2" t="s">
        <v>237</v>
      </c>
      <c r="B109" s="2" t="s">
        <v>238</v>
      </c>
      <c r="C109" s="2" t="s">
        <v>51</v>
      </c>
      <c r="D109" s="2" t="n">
        <v>6</v>
      </c>
      <c r="E109" s="2" t="n">
        <f aca="false">F109+G109+H109</f>
        <v>2</v>
      </c>
      <c r="F109" s="2" t="n">
        <v>0</v>
      </c>
      <c r="G109" s="2" t="n">
        <v>0</v>
      </c>
      <c r="H109" s="2" t="n">
        <v>2</v>
      </c>
      <c r="I109" s="2" t="n">
        <v>5</v>
      </c>
      <c r="J109" s="3" t="n">
        <f aca="false">IF(D109=0,"",I109/D109)</f>
        <v>0.833333333333333</v>
      </c>
      <c r="K109" s="4" t="n">
        <f aca="false">IF(D109=0,"",E109/D109)</f>
        <v>0.333333333333333</v>
      </c>
      <c r="L109" s="2" t="n">
        <v>0</v>
      </c>
      <c r="M109" s="2" t="n">
        <v>0</v>
      </c>
      <c r="N109" s="2" t="n">
        <v>0</v>
      </c>
      <c r="O109" s="2"/>
    </row>
    <row r="110" customFormat="false" ht="15" hidden="false" customHeight="false" outlineLevel="0" collapsed="false">
      <c r="A110" s="2" t="s">
        <v>239</v>
      </c>
      <c r="B110" s="2" t="s">
        <v>240</v>
      </c>
      <c r="C110" s="2" t="s">
        <v>51</v>
      </c>
      <c r="D110" s="2" t="n">
        <v>6</v>
      </c>
      <c r="E110" s="2" t="n">
        <f aca="false">F110+G110+H110</f>
        <v>6</v>
      </c>
      <c r="F110" s="2" t="n">
        <v>1</v>
      </c>
      <c r="G110" s="2" t="n">
        <v>3</v>
      </c>
      <c r="H110" s="2" t="n">
        <v>2</v>
      </c>
      <c r="I110" s="2" t="n">
        <v>2</v>
      </c>
      <c r="J110" s="3" t="n">
        <f aca="false">IF(D110=0,"",I110/D110)</f>
        <v>0.333333333333333</v>
      </c>
      <c r="K110" s="4" t="n">
        <f aca="false">IF(D110=0,"",E110/D110)</f>
        <v>1</v>
      </c>
      <c r="L110" s="2" t="n">
        <v>1</v>
      </c>
      <c r="M110" s="2" t="n">
        <v>0</v>
      </c>
      <c r="N110" s="2" t="n">
        <v>3</v>
      </c>
      <c r="O110" s="2"/>
    </row>
    <row r="111" customFormat="false" ht="15" hidden="false" customHeight="false" outlineLevel="0" collapsed="false">
      <c r="A111" s="2" t="s">
        <v>241</v>
      </c>
      <c r="B111" s="2" t="s">
        <v>242</v>
      </c>
      <c r="C111" s="2" t="s">
        <v>41</v>
      </c>
      <c r="D111" s="2" t="n">
        <v>6</v>
      </c>
      <c r="E111" s="2" t="n">
        <f aca="false">F111+G111+H111</f>
        <v>10</v>
      </c>
      <c r="F111" s="2" t="n">
        <v>3</v>
      </c>
      <c r="G111" s="2" t="n">
        <v>5</v>
      </c>
      <c r="H111" s="2" t="n">
        <v>2</v>
      </c>
      <c r="I111" s="2" t="n">
        <v>0</v>
      </c>
      <c r="J111" s="3" t="n">
        <f aca="false">IF(D111=0,"",I111/D111)</f>
        <v>0</v>
      </c>
      <c r="K111" s="4" t="n">
        <f aca="false">IF(D111=0,"",E111/D111)</f>
        <v>1.66666666666667</v>
      </c>
      <c r="L111" s="2" t="n">
        <v>5</v>
      </c>
      <c r="M111" s="2" t="n">
        <v>2</v>
      </c>
      <c r="N111" s="2" t="n">
        <v>1</v>
      </c>
      <c r="O111" s="2"/>
    </row>
    <row r="112" customFormat="false" ht="15" hidden="false" customHeight="false" outlineLevel="0" collapsed="false">
      <c r="A112" s="2" t="s">
        <v>243</v>
      </c>
      <c r="B112" s="2" t="s">
        <v>244</v>
      </c>
      <c r="C112" s="2" t="s">
        <v>51</v>
      </c>
      <c r="D112" s="2" t="n">
        <v>6</v>
      </c>
      <c r="E112" s="2" t="n">
        <f aca="false">F112+G112+H112</f>
        <v>2</v>
      </c>
      <c r="F112" s="2" t="n">
        <v>1</v>
      </c>
      <c r="G112" s="2" t="n">
        <v>1</v>
      </c>
      <c r="H112" s="2" t="n">
        <v>0</v>
      </c>
      <c r="I112" s="2" t="n">
        <v>3</v>
      </c>
      <c r="J112" s="3" t="n">
        <f aca="false">IF(D112=0,"",I112/D112)</f>
        <v>0.5</v>
      </c>
      <c r="K112" s="4" t="n">
        <f aca="false">IF(D112=0,"",E112/D112)</f>
        <v>0.333333333333333</v>
      </c>
      <c r="L112" s="2" t="n">
        <v>0</v>
      </c>
      <c r="M112" s="2" t="n">
        <v>1</v>
      </c>
      <c r="N112" s="2" t="n">
        <v>1</v>
      </c>
      <c r="O112" s="2"/>
    </row>
    <row r="113" customFormat="false" ht="15" hidden="false" customHeight="false" outlineLevel="0" collapsed="false">
      <c r="A113" s="2" t="s">
        <v>245</v>
      </c>
      <c r="B113" s="2" t="s">
        <v>246</v>
      </c>
      <c r="C113" s="2" t="s">
        <v>91</v>
      </c>
      <c r="D113" s="2" t="n">
        <v>6</v>
      </c>
      <c r="E113" s="2" t="n">
        <f aca="false">F113+G113+H113</f>
        <v>2</v>
      </c>
      <c r="F113" s="2" t="n">
        <v>0</v>
      </c>
      <c r="G113" s="2" t="n">
        <v>2</v>
      </c>
      <c r="H113" s="2" t="n">
        <v>0</v>
      </c>
      <c r="I113" s="2" t="n">
        <v>5</v>
      </c>
      <c r="J113" s="3" t="n">
        <f aca="false">IF(D113=0,"",I113/D113)</f>
        <v>0.833333333333333</v>
      </c>
      <c r="K113" s="4" t="n">
        <f aca="false">IF(D113=0,"",E113/D113)</f>
        <v>0.333333333333333</v>
      </c>
      <c r="L113" s="2" t="n">
        <v>1</v>
      </c>
      <c r="M113" s="2" t="n">
        <v>1</v>
      </c>
      <c r="N113" s="2" t="n">
        <v>0</v>
      </c>
      <c r="O113" s="2"/>
    </row>
    <row r="114" customFormat="false" ht="15" hidden="false" customHeight="false" outlineLevel="0" collapsed="false">
      <c r="A114" s="2" t="s">
        <v>247</v>
      </c>
      <c r="B114" s="2" t="s">
        <v>248</v>
      </c>
      <c r="C114" s="2" t="s">
        <v>91</v>
      </c>
      <c r="D114" s="2" t="n">
        <v>6</v>
      </c>
      <c r="E114" s="2" t="n">
        <f aca="false">F114+G114+H114</f>
        <v>2</v>
      </c>
      <c r="F114" s="2" t="n">
        <v>0</v>
      </c>
      <c r="G114" s="2" t="n">
        <v>2</v>
      </c>
      <c r="H114" s="2" t="n">
        <v>0</v>
      </c>
      <c r="I114" s="2" t="n">
        <v>5</v>
      </c>
      <c r="J114" s="3" t="n">
        <f aca="false">IF(D114=0,"",I114/D114)</f>
        <v>0.833333333333333</v>
      </c>
      <c r="K114" s="4" t="n">
        <f aca="false">IF(D114=0,"",E114/D114)</f>
        <v>0.333333333333333</v>
      </c>
      <c r="L114" s="2" t="n">
        <v>1</v>
      </c>
      <c r="M114" s="2" t="n">
        <v>1</v>
      </c>
      <c r="N114" s="2" t="n">
        <v>0</v>
      </c>
      <c r="O114" s="2"/>
    </row>
    <row r="115" customFormat="false" ht="15" hidden="false" customHeight="false" outlineLevel="0" collapsed="false">
      <c r="A115" s="2" t="s">
        <v>249</v>
      </c>
      <c r="B115" s="2" t="s">
        <v>250</v>
      </c>
      <c r="C115" s="2" t="s">
        <v>41</v>
      </c>
      <c r="D115" s="2" t="n">
        <v>5</v>
      </c>
      <c r="E115" s="2" t="n">
        <f aca="false">F115+G115+H115</f>
        <v>5</v>
      </c>
      <c r="F115" s="2" t="n">
        <v>0</v>
      </c>
      <c r="G115" s="2" t="n">
        <v>5</v>
      </c>
      <c r="H115" s="2" t="n">
        <v>0</v>
      </c>
      <c r="I115" s="2" t="n">
        <v>0</v>
      </c>
      <c r="J115" s="3" t="n">
        <f aca="false">IF(D115=0,"",I115/D115)</f>
        <v>0</v>
      </c>
      <c r="K115" s="4" t="n">
        <f aca="false">IF(D115=0,"",E115/D115)</f>
        <v>1</v>
      </c>
      <c r="L115" s="2" t="n">
        <v>2</v>
      </c>
      <c r="M115" s="2" t="n">
        <v>3</v>
      </c>
      <c r="N115" s="2" t="n">
        <v>0</v>
      </c>
      <c r="O115" s="2"/>
    </row>
    <row r="116" customFormat="false" ht="15" hidden="false" customHeight="false" outlineLevel="0" collapsed="false">
      <c r="A116" s="2" t="s">
        <v>251</v>
      </c>
      <c r="B116" s="2" t="s">
        <v>252</v>
      </c>
      <c r="C116" s="2" t="s">
        <v>51</v>
      </c>
      <c r="D116" s="2" t="n">
        <v>5</v>
      </c>
      <c r="E116" s="2" t="n">
        <f aca="false">F116+G116+H116</f>
        <v>2</v>
      </c>
      <c r="F116" s="2" t="n">
        <v>1</v>
      </c>
      <c r="G116" s="2" t="n">
        <v>1</v>
      </c>
      <c r="H116" s="2" t="n">
        <v>0</v>
      </c>
      <c r="I116" s="2" t="n">
        <v>2</v>
      </c>
      <c r="J116" s="3" t="n">
        <f aca="false">IF(D116=0,"",I116/D116)</f>
        <v>0.4</v>
      </c>
      <c r="K116" s="4" t="n">
        <f aca="false">IF(D116=0,"",E116/D116)</f>
        <v>0.4</v>
      </c>
      <c r="L116" s="2" t="n">
        <v>1</v>
      </c>
      <c r="M116" s="2" t="n">
        <v>1</v>
      </c>
      <c r="N116" s="2" t="n">
        <v>0</v>
      </c>
      <c r="O116" s="2"/>
    </row>
    <row r="117" customFormat="false" ht="15" hidden="false" customHeight="false" outlineLevel="0" collapsed="false">
      <c r="A117" s="2" t="s">
        <v>253</v>
      </c>
      <c r="B117" s="2" t="s">
        <v>254</v>
      </c>
      <c r="C117" s="2" t="s">
        <v>51</v>
      </c>
      <c r="D117" s="2" t="n">
        <v>5</v>
      </c>
      <c r="E117" s="2" t="n">
        <f aca="false">F117+G117+H117</f>
        <v>5</v>
      </c>
      <c r="F117" s="2" t="n">
        <v>1</v>
      </c>
      <c r="G117" s="2" t="n">
        <v>2</v>
      </c>
      <c r="H117" s="2" t="n">
        <v>2</v>
      </c>
      <c r="I117" s="2" t="n">
        <v>1</v>
      </c>
      <c r="J117" s="3" t="n">
        <f aca="false">IF(D117=0,"",I117/D117)</f>
        <v>0.2</v>
      </c>
      <c r="K117" s="4" t="n">
        <f aca="false">IF(D117=0,"",E117/D117)</f>
        <v>1</v>
      </c>
      <c r="L117" s="2" t="n">
        <v>1</v>
      </c>
      <c r="M117" s="2" t="n">
        <v>1</v>
      </c>
      <c r="N117" s="2" t="n">
        <v>1</v>
      </c>
      <c r="O117" s="2"/>
    </row>
    <row r="118" customFormat="false" ht="15" hidden="false" customHeight="false" outlineLevel="0" collapsed="false">
      <c r="A118" s="2" t="s">
        <v>255</v>
      </c>
      <c r="B118" s="2" t="s">
        <v>256</v>
      </c>
      <c r="C118" s="2" t="s">
        <v>23</v>
      </c>
      <c r="D118" s="2" t="n">
        <v>5</v>
      </c>
      <c r="E118" s="2" t="n">
        <f aca="false">F118+G118+H118</f>
        <v>6</v>
      </c>
      <c r="F118" s="2" t="n">
        <v>0</v>
      </c>
      <c r="G118" s="2" t="n">
        <v>6</v>
      </c>
      <c r="H118" s="2" t="n">
        <v>0</v>
      </c>
      <c r="I118" s="2" t="n">
        <v>2</v>
      </c>
      <c r="J118" s="3" t="n">
        <f aca="false">IF(D118=0,"",I118/D118)</f>
        <v>0.4</v>
      </c>
      <c r="K118" s="4" t="n">
        <f aca="false">IF(D118=0,"",E118/D118)</f>
        <v>1.2</v>
      </c>
      <c r="L118" s="2" t="n">
        <v>4</v>
      </c>
      <c r="M118" s="2" t="n">
        <v>2</v>
      </c>
      <c r="N118" s="2" t="n">
        <v>0</v>
      </c>
      <c r="O118" s="2"/>
    </row>
    <row r="119" customFormat="false" ht="15" hidden="false" customHeight="false" outlineLevel="0" collapsed="false">
      <c r="A119" s="2" t="s">
        <v>257</v>
      </c>
      <c r="B119" s="2" t="s">
        <v>258</v>
      </c>
      <c r="C119" s="2" t="s">
        <v>51</v>
      </c>
      <c r="D119" s="2" t="n">
        <v>5</v>
      </c>
      <c r="E119" s="2" t="n">
        <f aca="false">F119+G119+H119</f>
        <v>4</v>
      </c>
      <c r="F119" s="2" t="n">
        <v>1</v>
      </c>
      <c r="G119" s="2" t="n">
        <v>3</v>
      </c>
      <c r="H119" s="2" t="n">
        <v>0</v>
      </c>
      <c r="I119" s="2" t="n">
        <v>1</v>
      </c>
      <c r="J119" s="3" t="n">
        <f aca="false">IF(D119=0,"",I119/D119)</f>
        <v>0.2</v>
      </c>
      <c r="K119" s="4" t="n">
        <f aca="false">IF(D119=0,"",E119/D119)</f>
        <v>0.8</v>
      </c>
      <c r="L119" s="2" t="n">
        <v>1</v>
      </c>
      <c r="M119" s="2" t="n">
        <v>3</v>
      </c>
      <c r="N119" s="2" t="n">
        <v>0</v>
      </c>
      <c r="O119" s="2"/>
    </row>
    <row r="120" customFormat="false" ht="15" hidden="false" customHeight="false" outlineLevel="0" collapsed="false">
      <c r="A120" s="2" t="s">
        <v>259</v>
      </c>
      <c r="B120" s="2" t="s">
        <v>260</v>
      </c>
      <c r="C120" s="2" t="s">
        <v>41</v>
      </c>
      <c r="D120" s="2" t="n">
        <v>4</v>
      </c>
      <c r="E120" s="2" t="n">
        <f aca="false">F120+G120+H120</f>
        <v>4</v>
      </c>
      <c r="F120" s="2" t="n">
        <v>2</v>
      </c>
      <c r="G120" s="2" t="n">
        <v>2</v>
      </c>
      <c r="H120" s="2" t="n">
        <v>0</v>
      </c>
      <c r="I120" s="2" t="n">
        <v>0</v>
      </c>
      <c r="J120" s="3" t="n">
        <f aca="false">IF(D120=0,"",I120/D120)</f>
        <v>0</v>
      </c>
      <c r="K120" s="4" t="n">
        <f aca="false">IF(D120=0,"",E120/D120)</f>
        <v>1</v>
      </c>
      <c r="L120" s="2" t="n">
        <v>3</v>
      </c>
      <c r="M120" s="2" t="n">
        <v>1</v>
      </c>
      <c r="N120" s="2" t="n">
        <v>0</v>
      </c>
      <c r="O120" s="2"/>
    </row>
    <row r="121" customFormat="false" ht="15" hidden="false" customHeight="false" outlineLevel="0" collapsed="false">
      <c r="A121" s="2" t="s">
        <v>261</v>
      </c>
      <c r="B121" s="2" t="s">
        <v>262</v>
      </c>
      <c r="C121" s="2" t="s">
        <v>23</v>
      </c>
      <c r="D121" s="2" t="n">
        <v>4</v>
      </c>
      <c r="E121" s="2" t="n">
        <f aca="false">F121+G121+H121</f>
        <v>6</v>
      </c>
      <c r="F121" s="2" t="n">
        <v>0</v>
      </c>
      <c r="G121" s="2" t="n">
        <v>6</v>
      </c>
      <c r="H121" s="2" t="n">
        <v>0</v>
      </c>
      <c r="I121" s="2" t="n">
        <v>0</v>
      </c>
      <c r="J121" s="3" t="n">
        <f aca="false">IF(D121=0,"",I121/D121)</f>
        <v>0</v>
      </c>
      <c r="K121" s="4" t="n">
        <f aca="false">IF(D121=0,"",E121/D121)</f>
        <v>1.5</v>
      </c>
      <c r="L121" s="2" t="n">
        <v>4</v>
      </c>
      <c r="M121" s="2" t="n">
        <v>1</v>
      </c>
      <c r="N121" s="2" t="n">
        <v>1</v>
      </c>
      <c r="O121" s="2"/>
    </row>
    <row r="122" customFormat="false" ht="15" hidden="false" customHeight="false" outlineLevel="0" collapsed="false">
      <c r="A122" s="2" t="s">
        <v>263</v>
      </c>
      <c r="B122" s="2" t="s">
        <v>264</v>
      </c>
      <c r="C122" s="2" t="s">
        <v>51</v>
      </c>
      <c r="D122" s="2" t="n">
        <v>4</v>
      </c>
      <c r="E122" s="2" t="n">
        <f aca="false">F122+G122+H122</f>
        <v>2</v>
      </c>
      <c r="F122" s="2" t="n">
        <v>0</v>
      </c>
      <c r="G122" s="2" t="n">
        <v>2</v>
      </c>
      <c r="H122" s="2" t="n">
        <v>0</v>
      </c>
      <c r="I122" s="2" t="n">
        <v>2</v>
      </c>
      <c r="J122" s="3" t="n">
        <f aca="false">IF(D122=0,"",I122/D122)</f>
        <v>0.5</v>
      </c>
      <c r="K122" s="4" t="n">
        <f aca="false">IF(D122=0,"",E122/D122)</f>
        <v>0.5</v>
      </c>
      <c r="L122" s="2" t="n">
        <v>1</v>
      </c>
      <c r="M122" s="2" t="n">
        <v>0</v>
      </c>
      <c r="N122" s="2" t="n">
        <v>1</v>
      </c>
      <c r="O122" s="2"/>
    </row>
    <row r="123" customFormat="false" ht="15" hidden="false" customHeight="false" outlineLevel="0" collapsed="false">
      <c r="A123" s="2" t="s">
        <v>265</v>
      </c>
      <c r="B123" s="2" t="s">
        <v>266</v>
      </c>
      <c r="C123" s="2" t="s">
        <v>51</v>
      </c>
      <c r="D123" s="2" t="n">
        <v>4</v>
      </c>
      <c r="E123" s="2" t="n">
        <f aca="false">F123+G123+H123</f>
        <v>3</v>
      </c>
      <c r="F123" s="2" t="n">
        <v>0</v>
      </c>
      <c r="G123" s="2" t="n">
        <v>2</v>
      </c>
      <c r="H123" s="2" t="n">
        <v>1</v>
      </c>
      <c r="I123" s="2" t="n">
        <v>2</v>
      </c>
      <c r="J123" s="3" t="n">
        <f aca="false">IF(D123=0,"",I123/D123)</f>
        <v>0.5</v>
      </c>
      <c r="K123" s="4" t="n">
        <f aca="false">IF(D123=0,"",E123/D123)</f>
        <v>0.75</v>
      </c>
      <c r="L123" s="2" t="n">
        <v>1</v>
      </c>
      <c r="M123" s="2" t="n">
        <v>1</v>
      </c>
      <c r="N123" s="2" t="n">
        <v>0</v>
      </c>
      <c r="O123" s="2"/>
    </row>
    <row r="124" customFormat="false" ht="15" hidden="false" customHeight="false" outlineLevel="0" collapsed="false">
      <c r="A124" s="2" t="s">
        <v>267</v>
      </c>
      <c r="B124" s="2" t="s">
        <v>268</v>
      </c>
      <c r="C124" s="2" t="s">
        <v>51</v>
      </c>
      <c r="D124" s="2" t="n">
        <v>4</v>
      </c>
      <c r="E124" s="2" t="n">
        <f aca="false">F124+G124+H124</f>
        <v>2</v>
      </c>
      <c r="F124" s="2" t="n">
        <v>1</v>
      </c>
      <c r="G124" s="2" t="n">
        <v>1</v>
      </c>
      <c r="H124" s="2" t="n">
        <v>0</v>
      </c>
      <c r="I124" s="2" t="n">
        <v>1</v>
      </c>
      <c r="J124" s="3" t="n">
        <f aca="false">IF(D124=0,"",I124/D124)</f>
        <v>0.25</v>
      </c>
      <c r="K124" s="4" t="n">
        <f aca="false">IF(D124=0,"",E124/D124)</f>
        <v>0.5</v>
      </c>
      <c r="L124" s="2" t="n">
        <v>0</v>
      </c>
      <c r="M124" s="2" t="n">
        <v>2</v>
      </c>
      <c r="N124" s="2" t="n">
        <v>0</v>
      </c>
      <c r="O124" s="2"/>
    </row>
    <row r="125" customFormat="false" ht="15" hidden="false" customHeight="false" outlineLevel="0" collapsed="false">
      <c r="A125" s="2" t="s">
        <v>269</v>
      </c>
      <c r="B125" s="2" t="s">
        <v>270</v>
      </c>
      <c r="C125" s="2" t="s">
        <v>17</v>
      </c>
      <c r="D125" s="2" t="n">
        <v>4</v>
      </c>
      <c r="E125" s="2" t="n">
        <f aca="false">F125+G125+H125</f>
        <v>8</v>
      </c>
      <c r="F125" s="2" t="n">
        <v>0</v>
      </c>
      <c r="G125" s="2" t="n">
        <v>8</v>
      </c>
      <c r="H125" s="2" t="n">
        <v>0</v>
      </c>
      <c r="I125" s="2" t="n">
        <v>0</v>
      </c>
      <c r="J125" s="3" t="n">
        <f aca="false">IF(D125=0,"",I125/D125)</f>
        <v>0</v>
      </c>
      <c r="K125" s="4" t="n">
        <f aca="false">IF(D125=0,"",E125/D125)</f>
        <v>2</v>
      </c>
      <c r="L125" s="2" t="n">
        <v>4</v>
      </c>
      <c r="M125" s="2" t="n">
        <v>2</v>
      </c>
      <c r="N125" s="2" t="n">
        <v>2</v>
      </c>
      <c r="O125" s="2"/>
    </row>
    <row r="126" customFormat="false" ht="15" hidden="false" customHeight="false" outlineLevel="0" collapsed="false">
      <c r="A126" s="2" t="s">
        <v>271</v>
      </c>
      <c r="B126" s="2" t="s">
        <v>272</v>
      </c>
      <c r="C126" s="2" t="s">
        <v>17</v>
      </c>
      <c r="D126" s="2" t="n">
        <v>4</v>
      </c>
      <c r="E126" s="2" t="n">
        <f aca="false">F126+G126+H126</f>
        <v>4</v>
      </c>
      <c r="F126" s="2" t="n">
        <v>0</v>
      </c>
      <c r="G126" s="2" t="n">
        <v>4</v>
      </c>
      <c r="H126" s="2" t="n">
        <v>0</v>
      </c>
      <c r="I126" s="2" t="n">
        <v>1</v>
      </c>
      <c r="J126" s="3" t="n">
        <f aca="false">IF(D126=0,"",I126/D126)</f>
        <v>0.25</v>
      </c>
      <c r="K126" s="4" t="n">
        <f aca="false">IF(D126=0,"",E126/D126)</f>
        <v>1</v>
      </c>
      <c r="L126" s="2" t="n">
        <v>3</v>
      </c>
      <c r="M126" s="2" t="n">
        <v>1</v>
      </c>
      <c r="N126" s="2" t="n">
        <v>0</v>
      </c>
      <c r="O126" s="2"/>
    </row>
    <row r="127" customFormat="false" ht="15" hidden="false" customHeight="false" outlineLevel="0" collapsed="false">
      <c r="A127" s="2" t="s">
        <v>273</v>
      </c>
      <c r="B127" s="2" t="s">
        <v>274</v>
      </c>
      <c r="C127" s="2" t="s">
        <v>86</v>
      </c>
      <c r="D127" s="2" t="n">
        <v>4</v>
      </c>
      <c r="E127" s="2" t="n">
        <f aca="false">F127+G127+H127</f>
        <v>4</v>
      </c>
      <c r="F127" s="2" t="n">
        <v>2</v>
      </c>
      <c r="G127" s="2" t="n">
        <v>2</v>
      </c>
      <c r="H127" s="2" t="n">
        <v>0</v>
      </c>
      <c r="I127" s="2" t="n">
        <v>0</v>
      </c>
      <c r="J127" s="3" t="n">
        <f aca="false">IF(D127=0,"",I127/D127)</f>
        <v>0</v>
      </c>
      <c r="K127" s="4" t="n">
        <f aca="false">IF(D127=0,"",E127/D127)</f>
        <v>1</v>
      </c>
      <c r="L127" s="2" t="n">
        <v>2</v>
      </c>
      <c r="M127" s="2" t="n">
        <v>2</v>
      </c>
      <c r="N127" s="2" t="n">
        <v>0</v>
      </c>
      <c r="O127" s="2"/>
    </row>
    <row r="128" customFormat="false" ht="15" hidden="false" customHeight="false" outlineLevel="0" collapsed="false">
      <c r="A128" s="2" t="s">
        <v>275</v>
      </c>
      <c r="B128" s="2" t="s">
        <v>276</v>
      </c>
      <c r="C128" s="2" t="s">
        <v>23</v>
      </c>
      <c r="D128" s="2" t="n">
        <v>4</v>
      </c>
      <c r="E128" s="2" t="n">
        <f aca="false">F128+G128+H128</f>
        <v>4</v>
      </c>
      <c r="F128" s="2" t="n">
        <v>0</v>
      </c>
      <c r="G128" s="2" t="n">
        <v>4</v>
      </c>
      <c r="H128" s="2" t="n">
        <v>0</v>
      </c>
      <c r="I128" s="2" t="n">
        <v>0</v>
      </c>
      <c r="J128" s="3" t="n">
        <f aca="false">IF(D128=0,"",I128/D128)</f>
        <v>0</v>
      </c>
      <c r="K128" s="4" t="n">
        <f aca="false">IF(D128=0,"",E128/D128)</f>
        <v>1</v>
      </c>
      <c r="L128" s="2" t="n">
        <v>2</v>
      </c>
      <c r="M128" s="2" t="n">
        <v>2</v>
      </c>
      <c r="N128" s="2" t="n">
        <v>0</v>
      </c>
      <c r="O128" s="2"/>
    </row>
    <row r="129" customFormat="false" ht="15" hidden="false" customHeight="false" outlineLevel="0" collapsed="false">
      <c r="A129" s="2" t="s">
        <v>277</v>
      </c>
      <c r="B129" s="2" t="s">
        <v>278</v>
      </c>
      <c r="C129" s="2" t="s">
        <v>91</v>
      </c>
      <c r="D129" s="2" t="n">
        <v>4</v>
      </c>
      <c r="E129" s="2" t="n">
        <f aca="false">F129+G129+H129</f>
        <v>5</v>
      </c>
      <c r="F129" s="2" t="n">
        <v>0</v>
      </c>
      <c r="G129" s="2" t="n">
        <v>5</v>
      </c>
      <c r="H129" s="2" t="n">
        <v>0</v>
      </c>
      <c r="I129" s="2" t="n">
        <v>0</v>
      </c>
      <c r="J129" s="3" t="n">
        <f aca="false">IF(D129=0,"",I129/D129)</f>
        <v>0</v>
      </c>
      <c r="K129" s="4" t="n">
        <f aca="false">IF(D129=0,"",E129/D129)</f>
        <v>1.25</v>
      </c>
      <c r="L129" s="2" t="n">
        <v>3</v>
      </c>
      <c r="M129" s="2" t="n">
        <v>2</v>
      </c>
      <c r="N129" s="2" t="n">
        <v>0</v>
      </c>
      <c r="O129" s="2"/>
    </row>
    <row r="130" customFormat="false" ht="15" hidden="false" customHeight="false" outlineLevel="0" collapsed="false">
      <c r="A130" s="2" t="s">
        <v>279</v>
      </c>
      <c r="B130" s="2" t="s">
        <v>280</v>
      </c>
      <c r="C130" s="2" t="s">
        <v>23</v>
      </c>
      <c r="D130" s="2" t="n">
        <v>4</v>
      </c>
      <c r="E130" s="2" t="n">
        <f aca="false">F130+G130+H130</f>
        <v>4</v>
      </c>
      <c r="F130" s="2" t="n">
        <v>0</v>
      </c>
      <c r="G130" s="2" t="n">
        <v>4</v>
      </c>
      <c r="H130" s="2" t="n">
        <v>0</v>
      </c>
      <c r="I130" s="2" t="n">
        <v>1</v>
      </c>
      <c r="J130" s="3" t="n">
        <f aca="false">IF(D130=0,"",I130/D130)</f>
        <v>0.25</v>
      </c>
      <c r="K130" s="4" t="n">
        <f aca="false">IF(D130=0,"",E130/D130)</f>
        <v>1</v>
      </c>
      <c r="L130" s="2" t="n">
        <v>2</v>
      </c>
      <c r="M130" s="2" t="n">
        <v>1</v>
      </c>
      <c r="N130" s="2" t="n">
        <v>1</v>
      </c>
      <c r="O130" s="2"/>
    </row>
    <row r="131" customFormat="false" ht="15" hidden="false" customHeight="false" outlineLevel="0" collapsed="false">
      <c r="A131" s="2" t="s">
        <v>281</v>
      </c>
      <c r="B131" s="2" t="s">
        <v>282</v>
      </c>
      <c r="C131" s="2" t="s">
        <v>91</v>
      </c>
      <c r="D131" s="2" t="n">
        <v>4</v>
      </c>
      <c r="E131" s="2" t="n">
        <f aca="false">F131+G131+H131</f>
        <v>4</v>
      </c>
      <c r="F131" s="2" t="n">
        <v>0</v>
      </c>
      <c r="G131" s="2" t="n">
        <v>4</v>
      </c>
      <c r="H131" s="2" t="n">
        <v>0</v>
      </c>
      <c r="I131" s="2" t="n">
        <v>1</v>
      </c>
      <c r="J131" s="3" t="n">
        <f aca="false">IF(D131=0,"",I131/D131)</f>
        <v>0.25</v>
      </c>
      <c r="K131" s="4" t="n">
        <f aca="false">IF(D131=0,"",E131/D131)</f>
        <v>1</v>
      </c>
      <c r="L131" s="2" t="n">
        <v>2</v>
      </c>
      <c r="M131" s="2" t="n">
        <v>1</v>
      </c>
      <c r="N131" s="2" t="n">
        <v>1</v>
      </c>
      <c r="O131" s="2"/>
    </row>
    <row r="132" customFormat="false" ht="15" hidden="false" customHeight="false" outlineLevel="0" collapsed="false">
      <c r="A132" s="2" t="s">
        <v>283</v>
      </c>
      <c r="B132" s="2" t="s">
        <v>284</v>
      </c>
      <c r="C132" s="2" t="s">
        <v>23</v>
      </c>
      <c r="D132" s="2" t="n">
        <v>4</v>
      </c>
      <c r="E132" s="2" t="n">
        <f aca="false">F132+G132+H132</f>
        <v>5</v>
      </c>
      <c r="F132" s="2" t="n">
        <v>0</v>
      </c>
      <c r="G132" s="2" t="n">
        <v>5</v>
      </c>
      <c r="H132" s="2" t="n">
        <v>0</v>
      </c>
      <c r="I132" s="2" t="n">
        <v>1</v>
      </c>
      <c r="J132" s="3" t="n">
        <f aca="false">IF(D132=0,"",I132/D132)</f>
        <v>0.25</v>
      </c>
      <c r="K132" s="4" t="n">
        <f aca="false">IF(D132=0,"",E132/D132)</f>
        <v>1.25</v>
      </c>
      <c r="L132" s="2" t="n">
        <v>3</v>
      </c>
      <c r="M132" s="2" t="n">
        <v>1</v>
      </c>
      <c r="N132" s="2" t="n">
        <v>1</v>
      </c>
      <c r="O132" s="2"/>
    </row>
    <row r="133" customFormat="false" ht="15" hidden="false" customHeight="false" outlineLevel="0" collapsed="false">
      <c r="A133" s="2" t="s">
        <v>285</v>
      </c>
      <c r="B133" s="2" t="s">
        <v>286</v>
      </c>
      <c r="C133" s="2" t="s">
        <v>23</v>
      </c>
      <c r="D133" s="2" t="n">
        <v>4</v>
      </c>
      <c r="E133" s="2" t="n">
        <f aca="false">F133+G133+H133</f>
        <v>4</v>
      </c>
      <c r="F133" s="2" t="n">
        <v>0</v>
      </c>
      <c r="G133" s="2" t="n">
        <v>4</v>
      </c>
      <c r="H133" s="2" t="n">
        <v>0</v>
      </c>
      <c r="I133" s="2" t="n">
        <v>2</v>
      </c>
      <c r="J133" s="3" t="n">
        <f aca="false">IF(D133=0,"",I133/D133)</f>
        <v>0.5</v>
      </c>
      <c r="K133" s="4" t="n">
        <f aca="false">IF(D133=0,"",E133/D133)</f>
        <v>1</v>
      </c>
      <c r="L133" s="2" t="n">
        <v>2</v>
      </c>
      <c r="M133" s="2" t="n">
        <v>2</v>
      </c>
      <c r="N133" s="2" t="n">
        <v>0</v>
      </c>
      <c r="O133" s="2"/>
    </row>
    <row r="134" customFormat="false" ht="15" hidden="false" customHeight="false" outlineLevel="0" collapsed="false">
      <c r="A134" s="2" t="s">
        <v>287</v>
      </c>
      <c r="B134" s="2" t="s">
        <v>288</v>
      </c>
      <c r="C134" s="2" t="s">
        <v>51</v>
      </c>
      <c r="D134" s="2" t="n">
        <v>4</v>
      </c>
      <c r="E134" s="2" t="n">
        <f aca="false">F134+G134+H134</f>
        <v>3</v>
      </c>
      <c r="F134" s="2" t="n">
        <v>0</v>
      </c>
      <c r="G134" s="2" t="n">
        <v>2</v>
      </c>
      <c r="H134" s="2" t="n">
        <v>1</v>
      </c>
      <c r="I134" s="2" t="n">
        <v>2</v>
      </c>
      <c r="J134" s="3" t="n">
        <f aca="false">IF(D134=0,"",I134/D134)</f>
        <v>0.5</v>
      </c>
      <c r="K134" s="4" t="n">
        <f aca="false">IF(D134=0,"",E134/D134)</f>
        <v>0.75</v>
      </c>
      <c r="L134" s="2" t="n">
        <v>1</v>
      </c>
      <c r="M134" s="2" t="n">
        <v>0</v>
      </c>
      <c r="N134" s="2" t="n">
        <v>1</v>
      </c>
      <c r="O134" s="2"/>
    </row>
    <row r="135" customFormat="false" ht="15" hidden="false" customHeight="false" outlineLevel="0" collapsed="false">
      <c r="A135" s="2" t="s">
        <v>289</v>
      </c>
      <c r="B135" s="2" t="s">
        <v>290</v>
      </c>
      <c r="C135" s="2" t="s">
        <v>23</v>
      </c>
      <c r="D135" s="2" t="n">
        <v>4</v>
      </c>
      <c r="E135" s="2" t="n">
        <f aca="false">F135+G135+H135</f>
        <v>4</v>
      </c>
      <c r="F135" s="2" t="n">
        <v>0</v>
      </c>
      <c r="G135" s="2" t="n">
        <v>4</v>
      </c>
      <c r="H135" s="2" t="n">
        <v>0</v>
      </c>
      <c r="I135" s="2" t="n">
        <v>2</v>
      </c>
      <c r="J135" s="3" t="n">
        <f aca="false">IF(D135=0,"",I135/D135)</f>
        <v>0.5</v>
      </c>
      <c r="K135" s="4" t="n">
        <f aca="false">IF(D135=0,"",E135/D135)</f>
        <v>1</v>
      </c>
      <c r="L135" s="2" t="n">
        <v>2</v>
      </c>
      <c r="M135" s="2" t="n">
        <v>2</v>
      </c>
      <c r="N135" s="2" t="n">
        <v>0</v>
      </c>
      <c r="O135" s="2"/>
    </row>
    <row r="136" customFormat="false" ht="15" hidden="false" customHeight="false" outlineLevel="0" collapsed="false">
      <c r="A136" s="2" t="s">
        <v>291</v>
      </c>
      <c r="B136" s="2" t="s">
        <v>292</v>
      </c>
      <c r="C136" s="2" t="s">
        <v>17</v>
      </c>
      <c r="D136" s="2" t="n">
        <v>4</v>
      </c>
      <c r="E136" s="2" t="n">
        <f aca="false">F136+G136+H136</f>
        <v>6</v>
      </c>
      <c r="F136" s="2" t="n">
        <v>0</v>
      </c>
      <c r="G136" s="2" t="n">
        <v>6</v>
      </c>
      <c r="H136" s="2" t="n">
        <v>0</v>
      </c>
      <c r="I136" s="2" t="n">
        <v>0</v>
      </c>
      <c r="J136" s="3" t="n">
        <f aca="false">IF(D136=0,"",I136/D136)</f>
        <v>0</v>
      </c>
      <c r="K136" s="4" t="n">
        <f aca="false">IF(D136=0,"",E136/D136)</f>
        <v>1.5</v>
      </c>
      <c r="L136" s="2" t="n">
        <v>2</v>
      </c>
      <c r="M136" s="2" t="n">
        <v>4</v>
      </c>
      <c r="N136" s="2" t="n">
        <v>0</v>
      </c>
      <c r="O136" s="2"/>
    </row>
    <row r="137" customFormat="false" ht="15" hidden="false" customHeight="false" outlineLevel="0" collapsed="false">
      <c r="A137" s="2" t="s">
        <v>293</v>
      </c>
      <c r="B137" s="2" t="s">
        <v>294</v>
      </c>
      <c r="C137" s="2" t="s">
        <v>51</v>
      </c>
      <c r="D137" s="2" t="n">
        <v>4</v>
      </c>
      <c r="E137" s="2" t="n">
        <f aca="false">F137+G137+H137</f>
        <v>0</v>
      </c>
      <c r="F137" s="2" t="n">
        <v>0</v>
      </c>
      <c r="G137" s="2" t="n">
        <v>0</v>
      </c>
      <c r="H137" s="2" t="n">
        <v>0</v>
      </c>
      <c r="I137" s="2" t="n">
        <v>4</v>
      </c>
      <c r="J137" s="3" t="n">
        <f aca="false">IF(D137=0,"",I137/D137)</f>
        <v>1</v>
      </c>
      <c r="K137" s="4" t="n">
        <f aca="false">IF(D137=0,"",E137/D137)</f>
        <v>0</v>
      </c>
      <c r="L137" s="2" t="n">
        <v>0</v>
      </c>
      <c r="M137" s="2" t="n">
        <v>0</v>
      </c>
      <c r="N137" s="2" t="n">
        <v>0</v>
      </c>
      <c r="O137" s="2"/>
    </row>
    <row r="138" customFormat="false" ht="15" hidden="false" customHeight="false" outlineLevel="0" collapsed="false">
      <c r="A138" s="2" t="s">
        <v>295</v>
      </c>
      <c r="B138" s="2" t="s">
        <v>296</v>
      </c>
      <c r="C138" s="2" t="s">
        <v>51</v>
      </c>
      <c r="D138" s="2" t="n">
        <v>4</v>
      </c>
      <c r="E138" s="2" t="n">
        <f aca="false">F138+G138+H138</f>
        <v>1</v>
      </c>
      <c r="F138" s="2" t="n">
        <v>0</v>
      </c>
      <c r="G138" s="2" t="n">
        <v>1</v>
      </c>
      <c r="H138" s="2" t="n">
        <v>0</v>
      </c>
      <c r="I138" s="2" t="n">
        <v>3</v>
      </c>
      <c r="J138" s="3" t="n">
        <f aca="false">IF(D138=0,"",I138/D138)</f>
        <v>0.75</v>
      </c>
      <c r="K138" s="4" t="n">
        <f aca="false">IF(D138=0,"",E138/D138)</f>
        <v>0.25</v>
      </c>
      <c r="L138" s="2" t="n">
        <v>0</v>
      </c>
      <c r="M138" s="2" t="n">
        <v>0</v>
      </c>
      <c r="N138" s="2" t="n">
        <v>1</v>
      </c>
      <c r="O138" s="2"/>
    </row>
    <row r="139" customFormat="false" ht="15" hidden="false" customHeight="false" outlineLevel="0" collapsed="false">
      <c r="A139" s="2" t="s">
        <v>297</v>
      </c>
      <c r="B139" s="2" t="s">
        <v>298</v>
      </c>
      <c r="C139" s="2" t="s">
        <v>41</v>
      </c>
      <c r="D139" s="2" t="n">
        <v>4</v>
      </c>
      <c r="E139" s="2" t="n">
        <f aca="false">F139+G139+H139</f>
        <v>5</v>
      </c>
      <c r="F139" s="2" t="n">
        <v>2</v>
      </c>
      <c r="G139" s="2" t="n">
        <v>2</v>
      </c>
      <c r="H139" s="2" t="n">
        <v>1</v>
      </c>
      <c r="I139" s="2" t="n">
        <v>0</v>
      </c>
      <c r="J139" s="3" t="n">
        <f aca="false">IF(D139=0,"",I139/D139)</f>
        <v>0</v>
      </c>
      <c r="K139" s="4" t="n">
        <f aca="false">IF(D139=0,"",E139/D139)</f>
        <v>1.25</v>
      </c>
      <c r="L139" s="2" t="n">
        <v>3</v>
      </c>
      <c r="M139" s="2" t="n">
        <v>1</v>
      </c>
      <c r="N139" s="2" t="n">
        <v>0</v>
      </c>
      <c r="O139" s="2"/>
    </row>
    <row r="140" customFormat="false" ht="15" hidden="false" customHeight="false" outlineLevel="0" collapsed="false">
      <c r="A140" s="2" t="s">
        <v>299</v>
      </c>
      <c r="B140" s="2" t="s">
        <v>300</v>
      </c>
      <c r="C140" s="2" t="s">
        <v>51</v>
      </c>
      <c r="D140" s="2" t="n">
        <v>4</v>
      </c>
      <c r="E140" s="2" t="n">
        <f aca="false">F140+G140+H140</f>
        <v>4</v>
      </c>
      <c r="F140" s="2" t="n">
        <v>2</v>
      </c>
      <c r="G140" s="2" t="n">
        <v>2</v>
      </c>
      <c r="H140" s="2" t="n">
        <v>0</v>
      </c>
      <c r="I140" s="2" t="n">
        <v>0</v>
      </c>
      <c r="J140" s="3" t="n">
        <f aca="false">IF(D140=0,"",I140/D140)</f>
        <v>0</v>
      </c>
      <c r="K140" s="4" t="n">
        <f aca="false">IF(D140=0,"",E140/D140)</f>
        <v>1</v>
      </c>
      <c r="L140" s="2" t="n">
        <v>1</v>
      </c>
      <c r="M140" s="2" t="n">
        <v>0</v>
      </c>
      <c r="N140" s="2" t="n">
        <v>3</v>
      </c>
      <c r="O140" s="2"/>
    </row>
    <row r="141" customFormat="false" ht="15" hidden="false" customHeight="false" outlineLevel="0" collapsed="false">
      <c r="A141" s="2" t="s">
        <v>301</v>
      </c>
      <c r="B141" s="2" t="s">
        <v>302</v>
      </c>
      <c r="C141" s="2" t="s">
        <v>23</v>
      </c>
      <c r="D141" s="2" t="n">
        <v>3</v>
      </c>
      <c r="E141" s="2" t="n">
        <f aca="false">F141+G141+H141</f>
        <v>3</v>
      </c>
      <c r="F141" s="2" t="n">
        <v>0</v>
      </c>
      <c r="G141" s="2" t="n">
        <v>3</v>
      </c>
      <c r="H141" s="2" t="n">
        <v>0</v>
      </c>
      <c r="I141" s="2" t="n">
        <v>0</v>
      </c>
      <c r="J141" s="3" t="n">
        <f aca="false">IF(D141=0,"",I141/D141)</f>
        <v>0</v>
      </c>
      <c r="K141" s="4" t="n">
        <f aca="false">IF(D141=0,"",E141/D141)</f>
        <v>1</v>
      </c>
      <c r="L141" s="2" t="n">
        <v>2</v>
      </c>
      <c r="M141" s="2" t="n">
        <v>1</v>
      </c>
      <c r="N141" s="2" t="n">
        <v>0</v>
      </c>
      <c r="O141" s="2"/>
    </row>
    <row r="142" customFormat="false" ht="15" hidden="false" customHeight="false" outlineLevel="0" collapsed="false">
      <c r="A142" s="2" t="s">
        <v>303</v>
      </c>
      <c r="B142" s="2" t="s">
        <v>304</v>
      </c>
      <c r="C142" s="2" t="s">
        <v>91</v>
      </c>
      <c r="D142" s="2" t="n">
        <v>3</v>
      </c>
      <c r="E142" s="2" t="n">
        <f aca="false">F142+G142+H142</f>
        <v>6</v>
      </c>
      <c r="F142" s="2" t="n">
        <v>0</v>
      </c>
      <c r="G142" s="2" t="n">
        <v>6</v>
      </c>
      <c r="H142" s="2" t="n">
        <v>0</v>
      </c>
      <c r="I142" s="2" t="n">
        <v>0</v>
      </c>
      <c r="J142" s="3" t="n">
        <f aca="false">IF(D142=0,"",I142/D142)</f>
        <v>0</v>
      </c>
      <c r="K142" s="4" t="n">
        <f aca="false">IF(D142=0,"",E142/D142)</f>
        <v>2</v>
      </c>
      <c r="L142" s="2" t="n">
        <v>4</v>
      </c>
      <c r="M142" s="2" t="n">
        <v>2</v>
      </c>
      <c r="N142" s="2" t="n">
        <v>0</v>
      </c>
      <c r="O142" s="2"/>
    </row>
    <row r="143" customFormat="false" ht="15" hidden="false" customHeight="false" outlineLevel="0" collapsed="false">
      <c r="A143" s="2" t="s">
        <v>305</v>
      </c>
      <c r="B143" s="2" t="s">
        <v>306</v>
      </c>
      <c r="C143" s="2" t="s">
        <v>23</v>
      </c>
      <c r="D143" s="2" t="n">
        <v>3</v>
      </c>
      <c r="E143" s="2" t="n">
        <f aca="false">F143+G143+H143</f>
        <v>4</v>
      </c>
      <c r="F143" s="2" t="n">
        <v>0</v>
      </c>
      <c r="G143" s="2" t="n">
        <v>4</v>
      </c>
      <c r="H143" s="2" t="n">
        <v>0</v>
      </c>
      <c r="I143" s="2" t="n">
        <v>1</v>
      </c>
      <c r="J143" s="3" t="n">
        <f aca="false">IF(D143=0,"",I143/D143)</f>
        <v>0.333333333333333</v>
      </c>
      <c r="K143" s="4" t="n">
        <f aca="false">IF(D143=0,"",E143/D143)</f>
        <v>1.33333333333333</v>
      </c>
      <c r="L143" s="2" t="n">
        <v>3</v>
      </c>
      <c r="M143" s="2" t="n">
        <v>0</v>
      </c>
      <c r="N143" s="2" t="n">
        <v>1</v>
      </c>
      <c r="O143" s="2"/>
    </row>
    <row r="144" customFormat="false" ht="15" hidden="false" customHeight="false" outlineLevel="0" collapsed="false">
      <c r="A144" s="2" t="s">
        <v>307</v>
      </c>
      <c r="B144" s="2" t="s">
        <v>308</v>
      </c>
      <c r="C144" s="2" t="s">
        <v>23</v>
      </c>
      <c r="D144" s="2" t="n">
        <v>3</v>
      </c>
      <c r="E144" s="2" t="n">
        <f aca="false">F144+G144+H144</f>
        <v>3</v>
      </c>
      <c r="F144" s="2" t="n">
        <v>0</v>
      </c>
      <c r="G144" s="2" t="n">
        <v>3</v>
      </c>
      <c r="H144" s="2" t="n">
        <v>0</v>
      </c>
      <c r="I144" s="2" t="n">
        <v>2</v>
      </c>
      <c r="J144" s="3" t="n">
        <f aca="false">IF(D144=0,"",I144/D144)</f>
        <v>0.666666666666667</v>
      </c>
      <c r="K144" s="4" t="n">
        <f aca="false">IF(D144=0,"",E144/D144)</f>
        <v>1</v>
      </c>
      <c r="L144" s="2" t="n">
        <v>1</v>
      </c>
      <c r="M144" s="2" t="n">
        <v>2</v>
      </c>
      <c r="N144" s="2" t="n">
        <v>0</v>
      </c>
      <c r="O144" s="2"/>
    </row>
    <row r="145" customFormat="false" ht="15" hidden="false" customHeight="false" outlineLevel="0" collapsed="false">
      <c r="A145" s="2" t="s">
        <v>309</v>
      </c>
      <c r="B145" s="2" t="s">
        <v>310</v>
      </c>
      <c r="C145" s="2" t="s">
        <v>23</v>
      </c>
      <c r="D145" s="2" t="n">
        <v>3</v>
      </c>
      <c r="E145" s="2" t="n">
        <f aca="false">F145+G145+H145</f>
        <v>6</v>
      </c>
      <c r="F145" s="2" t="n">
        <v>0</v>
      </c>
      <c r="G145" s="2" t="n">
        <v>6</v>
      </c>
      <c r="H145" s="2" t="n">
        <v>0</v>
      </c>
      <c r="I145" s="2" t="n">
        <v>1</v>
      </c>
      <c r="J145" s="3" t="n">
        <f aca="false">IF(D145=0,"",I145/D145)</f>
        <v>0.333333333333333</v>
      </c>
      <c r="K145" s="4" t="n">
        <f aca="false">IF(D145=0,"",E145/D145)</f>
        <v>2</v>
      </c>
      <c r="L145" s="2" t="n">
        <v>2</v>
      </c>
      <c r="M145" s="2" t="n">
        <v>1</v>
      </c>
      <c r="N145" s="2" t="n">
        <v>3</v>
      </c>
      <c r="O145" s="2"/>
    </row>
    <row r="146" customFormat="false" ht="15" hidden="false" customHeight="false" outlineLevel="0" collapsed="false">
      <c r="A146" s="2" t="s">
        <v>311</v>
      </c>
      <c r="B146" s="2" t="s">
        <v>312</v>
      </c>
      <c r="C146" s="2" t="s">
        <v>23</v>
      </c>
      <c r="D146" s="2" t="n">
        <v>3</v>
      </c>
      <c r="E146" s="2" t="n">
        <f aca="false">F146+G146+H146</f>
        <v>4</v>
      </c>
      <c r="F146" s="2" t="n">
        <v>0</v>
      </c>
      <c r="G146" s="2" t="n">
        <v>4</v>
      </c>
      <c r="H146" s="2" t="n">
        <v>0</v>
      </c>
      <c r="I146" s="2" t="n">
        <v>1</v>
      </c>
      <c r="J146" s="3" t="n">
        <f aca="false">IF(D146=0,"",I146/D146)</f>
        <v>0.333333333333333</v>
      </c>
      <c r="K146" s="4" t="n">
        <f aca="false">IF(D146=0,"",E146/D146)</f>
        <v>1.33333333333333</v>
      </c>
      <c r="L146" s="2" t="n">
        <v>2</v>
      </c>
      <c r="M146" s="2" t="n">
        <v>2</v>
      </c>
      <c r="N146" s="2" t="n">
        <v>0</v>
      </c>
      <c r="O146" s="2"/>
    </row>
    <row r="147" customFormat="false" ht="15" hidden="false" customHeight="false" outlineLevel="0" collapsed="false">
      <c r="A147" s="2" t="s">
        <v>313</v>
      </c>
      <c r="B147" s="2" t="s">
        <v>314</v>
      </c>
      <c r="C147" s="2" t="s">
        <v>51</v>
      </c>
      <c r="D147" s="2" t="n">
        <v>3</v>
      </c>
      <c r="E147" s="2" t="n">
        <f aca="false">F147+G147+H147</f>
        <v>0</v>
      </c>
      <c r="F147" s="2" t="n">
        <v>0</v>
      </c>
      <c r="G147" s="2" t="n">
        <v>0</v>
      </c>
      <c r="H147" s="2" t="n">
        <v>0</v>
      </c>
      <c r="I147" s="2" t="n">
        <v>3</v>
      </c>
      <c r="J147" s="3" t="n">
        <f aca="false">IF(D147=0,"",I147/D147)</f>
        <v>1</v>
      </c>
      <c r="K147" s="4" t="n">
        <f aca="false">IF(D147=0,"",E147/D147)</f>
        <v>0</v>
      </c>
      <c r="L147" s="2" t="n">
        <v>0</v>
      </c>
      <c r="M147" s="2" t="n">
        <v>0</v>
      </c>
      <c r="N147" s="2" t="n">
        <v>0</v>
      </c>
      <c r="O147" s="2"/>
    </row>
    <row r="148" customFormat="false" ht="15" hidden="false" customHeight="false" outlineLevel="0" collapsed="false">
      <c r="A148" s="2" t="s">
        <v>315</v>
      </c>
      <c r="B148" s="2" t="s">
        <v>316</v>
      </c>
      <c r="C148" s="2" t="s">
        <v>17</v>
      </c>
      <c r="D148" s="2" t="n">
        <v>3</v>
      </c>
      <c r="E148" s="2" t="n">
        <f aca="false">F148+G148+H148</f>
        <v>6</v>
      </c>
      <c r="F148" s="2" t="n">
        <v>0</v>
      </c>
      <c r="G148" s="2" t="n">
        <v>6</v>
      </c>
      <c r="H148" s="2" t="n">
        <v>0</v>
      </c>
      <c r="I148" s="2" t="n">
        <v>0</v>
      </c>
      <c r="J148" s="3" t="n">
        <f aca="false">IF(D148=0,"",I148/D148)</f>
        <v>0</v>
      </c>
      <c r="K148" s="4" t="n">
        <f aca="false">IF(D148=0,"",E148/D148)</f>
        <v>2</v>
      </c>
      <c r="L148" s="2" t="n">
        <v>1</v>
      </c>
      <c r="M148" s="2" t="n">
        <v>4</v>
      </c>
      <c r="N148" s="2" t="n">
        <v>1</v>
      </c>
      <c r="O148" s="2"/>
    </row>
    <row r="149" customFormat="false" ht="15" hidden="false" customHeight="false" outlineLevel="0" collapsed="false">
      <c r="A149" s="2" t="s">
        <v>317</v>
      </c>
      <c r="B149" s="2" t="s">
        <v>318</v>
      </c>
      <c r="C149" s="2" t="s">
        <v>17</v>
      </c>
      <c r="D149" s="2" t="n">
        <v>3</v>
      </c>
      <c r="E149" s="2" t="n">
        <f aca="false">F149+G149+H149</f>
        <v>5</v>
      </c>
      <c r="F149" s="2" t="n">
        <v>0</v>
      </c>
      <c r="G149" s="2" t="n">
        <v>5</v>
      </c>
      <c r="H149" s="2" t="n">
        <v>0</v>
      </c>
      <c r="I149" s="2" t="n">
        <v>0</v>
      </c>
      <c r="J149" s="3" t="n">
        <f aca="false">IF(D149=0,"",I149/D149)</f>
        <v>0</v>
      </c>
      <c r="K149" s="4" t="n">
        <f aca="false">IF(D149=0,"",E149/D149)</f>
        <v>1.66666666666667</v>
      </c>
      <c r="L149" s="2" t="n">
        <v>2</v>
      </c>
      <c r="M149" s="2" t="n">
        <v>3</v>
      </c>
      <c r="N149" s="2" t="n">
        <v>0</v>
      </c>
      <c r="O149" s="2"/>
    </row>
    <row r="150" customFormat="false" ht="15" hidden="false" customHeight="false" outlineLevel="0" collapsed="false">
      <c r="A150" s="2" t="s">
        <v>319</v>
      </c>
      <c r="B150" s="2" t="s">
        <v>320</v>
      </c>
      <c r="C150" s="2" t="s">
        <v>23</v>
      </c>
      <c r="D150" s="2" t="n">
        <v>3</v>
      </c>
      <c r="E150" s="2" t="n">
        <f aca="false">F150+G150+H150</f>
        <v>4</v>
      </c>
      <c r="F150" s="2" t="n">
        <v>0</v>
      </c>
      <c r="G150" s="2" t="n">
        <v>4</v>
      </c>
      <c r="H150" s="2" t="n">
        <v>0</v>
      </c>
      <c r="I150" s="2" t="n">
        <v>0</v>
      </c>
      <c r="J150" s="3" t="n">
        <f aca="false">IF(D150=0,"",I150/D150)</f>
        <v>0</v>
      </c>
      <c r="K150" s="4" t="n">
        <f aca="false">IF(D150=0,"",E150/D150)</f>
        <v>1.33333333333333</v>
      </c>
      <c r="L150" s="2" t="n">
        <v>1</v>
      </c>
      <c r="M150" s="2" t="n">
        <v>3</v>
      </c>
      <c r="N150" s="2" t="n">
        <v>0</v>
      </c>
      <c r="O150" s="2"/>
    </row>
    <row r="151" customFormat="false" ht="15" hidden="false" customHeight="false" outlineLevel="0" collapsed="false">
      <c r="A151" s="2" t="s">
        <v>321</v>
      </c>
      <c r="B151" s="2" t="s">
        <v>322</v>
      </c>
      <c r="C151" s="2" t="s">
        <v>23</v>
      </c>
      <c r="D151" s="2" t="n">
        <v>3</v>
      </c>
      <c r="E151" s="2" t="n">
        <f aca="false">F151+G151+H151</f>
        <v>4</v>
      </c>
      <c r="F151" s="2" t="n">
        <v>0</v>
      </c>
      <c r="G151" s="2" t="n">
        <v>4</v>
      </c>
      <c r="H151" s="2" t="n">
        <v>0</v>
      </c>
      <c r="I151" s="2" t="n">
        <v>1</v>
      </c>
      <c r="J151" s="3" t="n">
        <f aca="false">IF(D151=0,"",I151/D151)</f>
        <v>0.333333333333333</v>
      </c>
      <c r="K151" s="4" t="n">
        <f aca="false">IF(D151=0,"",E151/D151)</f>
        <v>1.33333333333333</v>
      </c>
      <c r="L151" s="2" t="n">
        <v>0</v>
      </c>
      <c r="M151" s="2" t="n">
        <v>3</v>
      </c>
      <c r="N151" s="2" t="n">
        <v>1</v>
      </c>
      <c r="O151" s="2"/>
    </row>
    <row r="152" customFormat="false" ht="15" hidden="false" customHeight="false" outlineLevel="0" collapsed="false">
      <c r="A152" s="2" t="s">
        <v>323</v>
      </c>
      <c r="B152" s="2" t="s">
        <v>324</v>
      </c>
      <c r="C152" s="2" t="s">
        <v>91</v>
      </c>
      <c r="D152" s="2" t="n">
        <v>3</v>
      </c>
      <c r="E152" s="2" t="n">
        <f aca="false">F152+G152+H152</f>
        <v>1</v>
      </c>
      <c r="F152" s="2" t="n">
        <v>0</v>
      </c>
      <c r="G152" s="2" t="n">
        <v>1</v>
      </c>
      <c r="H152" s="2" t="n">
        <v>0</v>
      </c>
      <c r="I152" s="2" t="n">
        <v>2</v>
      </c>
      <c r="J152" s="3" t="n">
        <f aca="false">IF(D152=0,"",I152/D152)</f>
        <v>0.666666666666667</v>
      </c>
      <c r="K152" s="4" t="n">
        <f aca="false">IF(D152=0,"",E152/D152)</f>
        <v>0.333333333333333</v>
      </c>
      <c r="L152" s="2" t="n">
        <v>0</v>
      </c>
      <c r="M152" s="2" t="n">
        <v>1</v>
      </c>
      <c r="N152" s="2" t="n">
        <v>0</v>
      </c>
      <c r="O152" s="2"/>
    </row>
    <row r="153" customFormat="false" ht="15" hidden="false" customHeight="false" outlineLevel="0" collapsed="false">
      <c r="A153" s="2" t="s">
        <v>325</v>
      </c>
      <c r="B153" s="2" t="s">
        <v>326</v>
      </c>
      <c r="C153" s="2" t="s">
        <v>51</v>
      </c>
      <c r="D153" s="2" t="n">
        <v>3</v>
      </c>
      <c r="E153" s="2" t="n">
        <f aca="false">F153+G153+H153</f>
        <v>0</v>
      </c>
      <c r="F153" s="2" t="n">
        <v>0</v>
      </c>
      <c r="G153" s="2" t="n">
        <v>0</v>
      </c>
      <c r="H153" s="2" t="n">
        <v>0</v>
      </c>
      <c r="I153" s="2" t="n">
        <v>3</v>
      </c>
      <c r="J153" s="3" t="n">
        <f aca="false">IF(D153=0,"",I153/D153)</f>
        <v>1</v>
      </c>
      <c r="K153" s="4" t="n">
        <f aca="false">IF(D153=0,"",E153/D153)</f>
        <v>0</v>
      </c>
      <c r="L153" s="2" t="n">
        <v>0</v>
      </c>
      <c r="M153" s="2" t="n">
        <v>0</v>
      </c>
      <c r="N153" s="2" t="n">
        <v>0</v>
      </c>
      <c r="O153" s="2"/>
    </row>
    <row r="154" customFormat="false" ht="15" hidden="false" customHeight="false" outlineLevel="0" collapsed="false">
      <c r="A154" s="2" t="s">
        <v>327</v>
      </c>
      <c r="B154" s="2" t="s">
        <v>328</v>
      </c>
      <c r="C154" s="2" t="s">
        <v>41</v>
      </c>
      <c r="D154" s="2" t="n">
        <v>3</v>
      </c>
      <c r="E154" s="2" t="n">
        <f aca="false">F154+G154+H154</f>
        <v>3</v>
      </c>
      <c r="F154" s="2" t="n">
        <v>0</v>
      </c>
      <c r="G154" s="2" t="n">
        <v>3</v>
      </c>
      <c r="H154" s="2" t="n">
        <v>0</v>
      </c>
      <c r="I154" s="2" t="n">
        <v>0</v>
      </c>
      <c r="J154" s="3" t="n">
        <f aca="false">IF(D154=0,"",I154/D154)</f>
        <v>0</v>
      </c>
      <c r="K154" s="4" t="n">
        <f aca="false">IF(D154=0,"",E154/D154)</f>
        <v>1</v>
      </c>
      <c r="L154" s="2" t="n">
        <v>2</v>
      </c>
      <c r="M154" s="2" t="n">
        <v>0</v>
      </c>
      <c r="N154" s="2" t="n">
        <v>1</v>
      </c>
      <c r="O154" s="2"/>
    </row>
    <row r="155" customFormat="false" ht="15" hidden="false" customHeight="false" outlineLevel="0" collapsed="false">
      <c r="A155" s="2" t="s">
        <v>329</v>
      </c>
      <c r="B155" s="2" t="s">
        <v>330</v>
      </c>
      <c r="C155" s="2" t="s">
        <v>23</v>
      </c>
      <c r="D155" s="2" t="n">
        <v>3</v>
      </c>
      <c r="E155" s="2" t="n">
        <f aca="false">F155+G155+H155</f>
        <v>4</v>
      </c>
      <c r="F155" s="2" t="n">
        <v>0</v>
      </c>
      <c r="G155" s="2" t="n">
        <v>4</v>
      </c>
      <c r="H155" s="2" t="n">
        <v>0</v>
      </c>
      <c r="I155" s="2" t="n">
        <v>0</v>
      </c>
      <c r="J155" s="3" t="n">
        <f aca="false">IF(D155=0,"",I155/D155)</f>
        <v>0</v>
      </c>
      <c r="K155" s="4" t="n">
        <f aca="false">IF(D155=0,"",E155/D155)</f>
        <v>1.33333333333333</v>
      </c>
      <c r="L155" s="2" t="n">
        <v>2</v>
      </c>
      <c r="M155" s="2" t="n">
        <v>1</v>
      </c>
      <c r="N155" s="2" t="n">
        <v>1</v>
      </c>
      <c r="O155" s="2"/>
    </row>
    <row r="156" customFormat="false" ht="15" hidden="false" customHeight="false" outlineLevel="0" collapsed="false">
      <c r="A156" s="2" t="s">
        <v>331</v>
      </c>
      <c r="B156" s="2" t="s">
        <v>332</v>
      </c>
      <c r="C156" s="2" t="s">
        <v>23</v>
      </c>
      <c r="D156" s="2" t="n">
        <v>3</v>
      </c>
      <c r="E156" s="2" t="n">
        <f aca="false">F156+G156+H156</f>
        <v>6</v>
      </c>
      <c r="F156" s="2" t="n">
        <v>0</v>
      </c>
      <c r="G156" s="2" t="n">
        <v>6</v>
      </c>
      <c r="H156" s="2" t="n">
        <v>0</v>
      </c>
      <c r="I156" s="2" t="n">
        <v>1</v>
      </c>
      <c r="J156" s="3" t="n">
        <f aca="false">IF(D156=0,"",I156/D156)</f>
        <v>0.333333333333333</v>
      </c>
      <c r="K156" s="4" t="n">
        <f aca="false">IF(D156=0,"",E156/D156)</f>
        <v>2</v>
      </c>
      <c r="L156" s="2" t="n">
        <v>4</v>
      </c>
      <c r="M156" s="2" t="n">
        <v>2</v>
      </c>
      <c r="N156" s="2" t="n">
        <v>0</v>
      </c>
      <c r="O156" s="2"/>
    </row>
    <row r="157" customFormat="false" ht="15" hidden="false" customHeight="false" outlineLevel="0" collapsed="false">
      <c r="A157" s="2" t="s">
        <v>333</v>
      </c>
      <c r="B157" s="2" t="s">
        <v>334</v>
      </c>
      <c r="C157" s="2" t="s">
        <v>86</v>
      </c>
      <c r="D157" s="2" t="n">
        <v>3</v>
      </c>
      <c r="E157" s="2" t="n">
        <f aca="false">F157+G157+H157</f>
        <v>2</v>
      </c>
      <c r="F157" s="2" t="n">
        <v>2</v>
      </c>
      <c r="G157" s="2" t="n">
        <v>0</v>
      </c>
      <c r="H157" s="2" t="n">
        <v>0</v>
      </c>
      <c r="I157" s="2" t="n">
        <v>0</v>
      </c>
      <c r="J157" s="3" t="n">
        <f aca="false">IF(D157=0,"",I157/D157)</f>
        <v>0</v>
      </c>
      <c r="K157" s="4" t="n">
        <f aca="false">IF(D157=0,"",E157/D157)</f>
        <v>0.666666666666667</v>
      </c>
      <c r="L157" s="2" t="n">
        <v>0</v>
      </c>
      <c r="M157" s="2" t="n">
        <v>1</v>
      </c>
      <c r="N157" s="2" t="n">
        <v>1</v>
      </c>
      <c r="O157" s="2"/>
    </row>
    <row r="158" customFormat="false" ht="15" hidden="false" customHeight="false" outlineLevel="0" collapsed="false">
      <c r="A158" s="2" t="s">
        <v>335</v>
      </c>
      <c r="B158" s="2" t="s">
        <v>336</v>
      </c>
      <c r="C158" s="2" t="s">
        <v>91</v>
      </c>
      <c r="D158" s="2" t="n">
        <v>3</v>
      </c>
      <c r="E158" s="2" t="n">
        <f aca="false">F158+G158+H158</f>
        <v>4</v>
      </c>
      <c r="F158" s="2" t="n">
        <v>0</v>
      </c>
      <c r="G158" s="2" t="n">
        <v>4</v>
      </c>
      <c r="H158" s="2" t="n">
        <v>0</v>
      </c>
      <c r="I158" s="2" t="n">
        <v>1</v>
      </c>
      <c r="J158" s="3" t="n">
        <f aca="false">IF(D158=0,"",I158/D158)</f>
        <v>0.333333333333333</v>
      </c>
      <c r="K158" s="4" t="n">
        <f aca="false">IF(D158=0,"",E158/D158)</f>
        <v>1.33333333333333</v>
      </c>
      <c r="L158" s="2" t="n">
        <v>4</v>
      </c>
      <c r="M158" s="2" t="n">
        <v>0</v>
      </c>
      <c r="N158" s="2" t="n">
        <v>0</v>
      </c>
      <c r="O158" s="2"/>
    </row>
    <row r="159" customFormat="false" ht="15" hidden="false" customHeight="false" outlineLevel="0" collapsed="false">
      <c r="A159" s="2" t="s">
        <v>337</v>
      </c>
      <c r="B159" s="2" t="s">
        <v>338</v>
      </c>
      <c r="C159" s="2" t="s">
        <v>17</v>
      </c>
      <c r="D159" s="2" t="n">
        <v>3</v>
      </c>
      <c r="E159" s="2" t="n">
        <f aca="false">F159+G159+H159</f>
        <v>4</v>
      </c>
      <c r="F159" s="2" t="n">
        <v>0</v>
      </c>
      <c r="G159" s="2" t="n">
        <v>4</v>
      </c>
      <c r="H159" s="2" t="n">
        <v>0</v>
      </c>
      <c r="I159" s="2" t="n">
        <v>1</v>
      </c>
      <c r="J159" s="3" t="n">
        <f aca="false">IF(D159=0,"",I159/D159)</f>
        <v>0.333333333333333</v>
      </c>
      <c r="K159" s="4" t="n">
        <f aca="false">IF(D159=0,"",E159/D159)</f>
        <v>1.33333333333333</v>
      </c>
      <c r="L159" s="2" t="n">
        <v>2</v>
      </c>
      <c r="M159" s="2" t="n">
        <v>2</v>
      </c>
      <c r="N159" s="2" t="n">
        <v>0</v>
      </c>
      <c r="O159" s="2"/>
    </row>
    <row r="160" customFormat="false" ht="15" hidden="false" customHeight="false" outlineLevel="0" collapsed="false">
      <c r="A160" s="2" t="s">
        <v>339</v>
      </c>
      <c r="B160" s="2" t="s">
        <v>340</v>
      </c>
      <c r="C160" s="2" t="s">
        <v>23</v>
      </c>
      <c r="D160" s="2" t="n">
        <v>3</v>
      </c>
      <c r="E160" s="2" t="n">
        <f aca="false">F160+G160+H160</f>
        <v>5</v>
      </c>
      <c r="F160" s="2" t="n">
        <v>0</v>
      </c>
      <c r="G160" s="2" t="n">
        <v>5</v>
      </c>
      <c r="H160" s="2" t="n">
        <v>0</v>
      </c>
      <c r="I160" s="2" t="n">
        <v>1</v>
      </c>
      <c r="J160" s="3" t="n">
        <f aca="false">IF(D160=0,"",I160/D160)</f>
        <v>0.333333333333333</v>
      </c>
      <c r="K160" s="4" t="n">
        <f aca="false">IF(D160=0,"",E160/D160)</f>
        <v>1.66666666666667</v>
      </c>
      <c r="L160" s="2" t="n">
        <v>3</v>
      </c>
      <c r="M160" s="2" t="n">
        <v>2</v>
      </c>
      <c r="N160" s="2" t="n">
        <v>0</v>
      </c>
      <c r="O160" s="2"/>
    </row>
    <row r="161" customFormat="false" ht="15" hidden="false" customHeight="false" outlineLevel="0" collapsed="false">
      <c r="A161" s="2" t="s">
        <v>341</v>
      </c>
      <c r="B161" s="2" t="s">
        <v>342</v>
      </c>
      <c r="C161" s="2" t="s">
        <v>17</v>
      </c>
      <c r="D161" s="2" t="n">
        <v>3</v>
      </c>
      <c r="E161" s="2" t="n">
        <f aca="false">F161+G161+H161</f>
        <v>4</v>
      </c>
      <c r="F161" s="2" t="n">
        <v>0</v>
      </c>
      <c r="G161" s="2" t="n">
        <v>4</v>
      </c>
      <c r="H161" s="2" t="n">
        <v>0</v>
      </c>
      <c r="I161" s="2" t="n">
        <v>1</v>
      </c>
      <c r="J161" s="3" t="n">
        <f aca="false">IF(D161=0,"",I161/D161)</f>
        <v>0.333333333333333</v>
      </c>
      <c r="K161" s="4" t="n">
        <f aca="false">IF(D161=0,"",E161/D161)</f>
        <v>1.33333333333333</v>
      </c>
      <c r="L161" s="2" t="n">
        <v>1</v>
      </c>
      <c r="M161" s="2" t="n">
        <v>3</v>
      </c>
      <c r="N161" s="2" t="n">
        <v>0</v>
      </c>
      <c r="O161" s="2"/>
    </row>
    <row r="162" customFormat="false" ht="15" hidden="false" customHeight="false" outlineLevel="0" collapsed="false">
      <c r="A162" s="2" t="s">
        <v>343</v>
      </c>
      <c r="B162" s="2" t="s">
        <v>344</v>
      </c>
      <c r="C162" s="2" t="s">
        <v>17</v>
      </c>
      <c r="D162" s="2" t="n">
        <v>2</v>
      </c>
      <c r="E162" s="2" t="n">
        <f aca="false">F162+G162+H162</f>
        <v>2</v>
      </c>
      <c r="F162" s="2" t="n">
        <v>0</v>
      </c>
      <c r="G162" s="2" t="n">
        <v>2</v>
      </c>
      <c r="H162" s="2" t="n">
        <v>0</v>
      </c>
      <c r="I162" s="2" t="n">
        <v>1</v>
      </c>
      <c r="J162" s="3" t="n">
        <f aca="false">IF(D162=0,"",I162/D162)</f>
        <v>0.5</v>
      </c>
      <c r="K162" s="4" t="n">
        <f aca="false">IF(D162=0,"",E162/D162)</f>
        <v>1</v>
      </c>
      <c r="L162" s="2" t="n">
        <v>0</v>
      </c>
      <c r="M162" s="2" t="n">
        <v>1</v>
      </c>
      <c r="N162" s="2" t="n">
        <v>1</v>
      </c>
      <c r="O162" s="2"/>
    </row>
    <row r="163" customFormat="false" ht="15" hidden="false" customHeight="false" outlineLevel="0" collapsed="false">
      <c r="A163" s="2" t="s">
        <v>345</v>
      </c>
      <c r="B163" s="2" t="s">
        <v>346</v>
      </c>
      <c r="C163" s="2" t="s">
        <v>41</v>
      </c>
      <c r="D163" s="2" t="n">
        <v>2</v>
      </c>
      <c r="E163" s="2" t="n">
        <f aca="false">F163+G163+H163</f>
        <v>2</v>
      </c>
      <c r="F163" s="2" t="n">
        <v>0</v>
      </c>
      <c r="G163" s="2" t="n">
        <v>2</v>
      </c>
      <c r="H163" s="2" t="n">
        <v>0</v>
      </c>
      <c r="I163" s="2" t="n">
        <v>0</v>
      </c>
      <c r="J163" s="3" t="n">
        <f aca="false">IF(D163=0,"",I163/D163)</f>
        <v>0</v>
      </c>
      <c r="K163" s="4" t="n">
        <f aca="false">IF(D163=0,"",E163/D163)</f>
        <v>1</v>
      </c>
      <c r="L163" s="2" t="n">
        <v>1</v>
      </c>
      <c r="M163" s="2" t="n">
        <v>0</v>
      </c>
      <c r="N163" s="2" t="n">
        <v>1</v>
      </c>
      <c r="O163" s="2"/>
    </row>
    <row r="164" customFormat="false" ht="15" hidden="false" customHeight="false" outlineLevel="0" collapsed="false">
      <c r="A164" s="2" t="s">
        <v>347</v>
      </c>
      <c r="B164" s="2" t="s">
        <v>348</v>
      </c>
      <c r="C164" s="2" t="s">
        <v>41</v>
      </c>
      <c r="D164" s="2" t="n">
        <v>2</v>
      </c>
      <c r="E164" s="2" t="n">
        <f aca="false">F164+G164+H164</f>
        <v>1</v>
      </c>
      <c r="F164" s="2" t="n">
        <v>1</v>
      </c>
      <c r="G164" s="2" t="n">
        <v>0</v>
      </c>
      <c r="H164" s="2" t="n">
        <v>0</v>
      </c>
      <c r="I164" s="2" t="n">
        <v>0</v>
      </c>
      <c r="J164" s="3" t="n">
        <f aca="false">IF(D164=0,"",I164/D164)</f>
        <v>0</v>
      </c>
      <c r="K164" s="4" t="n">
        <f aca="false">IF(D164=0,"",E164/D164)</f>
        <v>0.5</v>
      </c>
      <c r="L164" s="2" t="n">
        <v>0</v>
      </c>
      <c r="M164" s="2" t="n">
        <v>1</v>
      </c>
      <c r="N164" s="2" t="n">
        <v>0</v>
      </c>
      <c r="O164" s="2"/>
    </row>
    <row r="165" customFormat="false" ht="15" hidden="false" customHeight="false" outlineLevel="0" collapsed="false">
      <c r="A165" s="2" t="s">
        <v>349</v>
      </c>
      <c r="B165" s="2" t="s">
        <v>350</v>
      </c>
      <c r="C165" s="2" t="s">
        <v>17</v>
      </c>
      <c r="D165" s="2" t="n">
        <v>2</v>
      </c>
      <c r="E165" s="2" t="n">
        <f aca="false">F165+G165+H165</f>
        <v>3</v>
      </c>
      <c r="F165" s="2" t="n">
        <v>0</v>
      </c>
      <c r="G165" s="2" t="n">
        <v>3</v>
      </c>
      <c r="H165" s="2" t="n">
        <v>0</v>
      </c>
      <c r="I165" s="2" t="n">
        <v>0</v>
      </c>
      <c r="J165" s="3" t="n">
        <f aca="false">IF(D165=0,"",I165/D165)</f>
        <v>0</v>
      </c>
      <c r="K165" s="4" t="n">
        <f aca="false">IF(D165=0,"",E165/D165)</f>
        <v>1.5</v>
      </c>
      <c r="L165" s="2" t="n">
        <v>1</v>
      </c>
      <c r="M165" s="2" t="n">
        <v>2</v>
      </c>
      <c r="N165" s="2" t="n">
        <v>0</v>
      </c>
      <c r="O165" s="2"/>
    </row>
    <row r="166" customFormat="false" ht="15" hidden="false" customHeight="false" outlineLevel="0" collapsed="false">
      <c r="A166" s="2" t="s">
        <v>351</v>
      </c>
      <c r="B166" s="2" t="s">
        <v>352</v>
      </c>
      <c r="C166" s="2" t="s">
        <v>41</v>
      </c>
      <c r="D166" s="2" t="n">
        <v>2</v>
      </c>
      <c r="E166" s="2" t="n">
        <f aca="false">F166+G166+H166</f>
        <v>2</v>
      </c>
      <c r="F166" s="2" t="n">
        <v>0</v>
      </c>
      <c r="G166" s="2" t="n">
        <v>2</v>
      </c>
      <c r="H166" s="2" t="n">
        <v>0</v>
      </c>
      <c r="I166" s="2" t="n">
        <v>0</v>
      </c>
      <c r="J166" s="3" t="n">
        <f aca="false">IF(D166=0,"",I166/D166)</f>
        <v>0</v>
      </c>
      <c r="K166" s="4" t="n">
        <f aca="false">IF(D166=0,"",E166/D166)</f>
        <v>1</v>
      </c>
      <c r="L166" s="2" t="n">
        <v>1</v>
      </c>
      <c r="M166" s="2" t="n">
        <v>0</v>
      </c>
      <c r="N166" s="2" t="n">
        <v>1</v>
      </c>
      <c r="O166" s="2"/>
    </row>
    <row r="167" customFormat="false" ht="15" hidden="false" customHeight="false" outlineLevel="0" collapsed="false">
      <c r="A167" s="2" t="s">
        <v>353</v>
      </c>
      <c r="B167" s="2" t="s">
        <v>354</v>
      </c>
      <c r="C167" s="2" t="s">
        <v>86</v>
      </c>
      <c r="D167" s="2" t="n">
        <v>2</v>
      </c>
      <c r="E167" s="2" t="n">
        <f aca="false">F167+G167+H167</f>
        <v>3</v>
      </c>
      <c r="F167" s="2" t="n">
        <v>0</v>
      </c>
      <c r="G167" s="2" t="n">
        <v>3</v>
      </c>
      <c r="H167" s="2" t="n">
        <v>0</v>
      </c>
      <c r="I167" s="2" t="n">
        <v>0</v>
      </c>
      <c r="J167" s="3" t="n">
        <f aca="false">IF(D167=0,"",I167/D167)</f>
        <v>0</v>
      </c>
      <c r="K167" s="4" t="n">
        <f aca="false">IF(D167=0,"",E167/D167)</f>
        <v>1.5</v>
      </c>
      <c r="L167" s="2" t="n">
        <v>2</v>
      </c>
      <c r="M167" s="2" t="n">
        <v>1</v>
      </c>
      <c r="N167" s="2" t="n">
        <v>0</v>
      </c>
      <c r="O167" s="2"/>
    </row>
    <row r="168" customFormat="false" ht="15" hidden="false" customHeight="false" outlineLevel="0" collapsed="false">
      <c r="A168" s="2" t="s">
        <v>355</v>
      </c>
      <c r="B168" s="2" t="s">
        <v>356</v>
      </c>
      <c r="C168" s="2" t="s">
        <v>41</v>
      </c>
      <c r="D168" s="2" t="n">
        <v>2</v>
      </c>
      <c r="E168" s="2" t="n">
        <f aca="false">F168+G168+H168</f>
        <v>2</v>
      </c>
      <c r="F168" s="2" t="n">
        <v>0</v>
      </c>
      <c r="G168" s="2" t="n">
        <v>2</v>
      </c>
      <c r="H168" s="2" t="n">
        <v>0</v>
      </c>
      <c r="I168" s="2" t="n">
        <v>0</v>
      </c>
      <c r="J168" s="3" t="n">
        <f aca="false">IF(D168=0,"",I168/D168)</f>
        <v>0</v>
      </c>
      <c r="K168" s="4" t="n">
        <f aca="false">IF(D168=0,"",E168/D168)</f>
        <v>1</v>
      </c>
      <c r="L168" s="2" t="n">
        <v>1</v>
      </c>
      <c r="M168" s="2" t="n">
        <v>1</v>
      </c>
      <c r="N168" s="2" t="n">
        <v>0</v>
      </c>
      <c r="O168" s="2"/>
    </row>
    <row r="169" customFormat="false" ht="15" hidden="false" customHeight="false" outlineLevel="0" collapsed="false">
      <c r="A169" s="2" t="s">
        <v>357</v>
      </c>
      <c r="B169" s="2" t="s">
        <v>358</v>
      </c>
      <c r="C169" s="2" t="s">
        <v>41</v>
      </c>
      <c r="D169" s="2" t="n">
        <v>2</v>
      </c>
      <c r="E169" s="2" t="n">
        <f aca="false">F169+G169+H169</f>
        <v>2</v>
      </c>
      <c r="F169" s="2" t="n">
        <v>0</v>
      </c>
      <c r="G169" s="2" t="n">
        <v>2</v>
      </c>
      <c r="H169" s="2" t="n">
        <v>0</v>
      </c>
      <c r="I169" s="2" t="n">
        <v>0</v>
      </c>
      <c r="J169" s="3" t="n">
        <f aca="false">IF(D169=0,"",I169/D169)</f>
        <v>0</v>
      </c>
      <c r="K169" s="4" t="n">
        <f aca="false">IF(D169=0,"",E169/D169)</f>
        <v>1</v>
      </c>
      <c r="L169" s="2" t="n">
        <v>1</v>
      </c>
      <c r="M169" s="2" t="n">
        <v>1</v>
      </c>
      <c r="N169" s="2" t="n">
        <v>0</v>
      </c>
      <c r="O169" s="2"/>
    </row>
    <row r="170" customFormat="false" ht="15" hidden="false" customHeight="false" outlineLevel="0" collapsed="false">
      <c r="A170" s="2" t="s">
        <v>359</v>
      </c>
      <c r="B170" s="2" t="s">
        <v>360</v>
      </c>
      <c r="C170" s="2" t="s">
        <v>86</v>
      </c>
      <c r="D170" s="2" t="n">
        <v>2</v>
      </c>
      <c r="E170" s="2" t="n">
        <f aca="false">F170+G170+H170</f>
        <v>3</v>
      </c>
      <c r="F170" s="2" t="n">
        <v>0</v>
      </c>
      <c r="G170" s="2" t="n">
        <v>3</v>
      </c>
      <c r="H170" s="2" t="n">
        <v>0</v>
      </c>
      <c r="I170" s="2" t="n">
        <v>0</v>
      </c>
      <c r="J170" s="3" t="n">
        <f aca="false">IF(D170=0,"",I170/D170)</f>
        <v>0</v>
      </c>
      <c r="K170" s="4" t="n">
        <f aca="false">IF(D170=0,"",E170/D170)</f>
        <v>1.5</v>
      </c>
      <c r="L170" s="2" t="n">
        <v>2</v>
      </c>
      <c r="M170" s="2" t="n">
        <v>1</v>
      </c>
      <c r="N170" s="2" t="n">
        <v>0</v>
      </c>
      <c r="O170" s="2"/>
    </row>
    <row r="171" customFormat="false" ht="15" hidden="false" customHeight="false" outlineLevel="0" collapsed="false">
      <c r="A171" s="2" t="s">
        <v>361</v>
      </c>
      <c r="B171" s="2" t="s">
        <v>362</v>
      </c>
      <c r="C171" s="2" t="s">
        <v>17</v>
      </c>
      <c r="D171" s="2" t="n">
        <v>2</v>
      </c>
      <c r="E171" s="2" t="n">
        <f aca="false">F171+G171+H171</f>
        <v>5</v>
      </c>
      <c r="F171" s="2" t="n">
        <v>0</v>
      </c>
      <c r="G171" s="2" t="n">
        <v>5</v>
      </c>
      <c r="H171" s="2" t="n">
        <v>0</v>
      </c>
      <c r="I171" s="2" t="n">
        <v>1</v>
      </c>
      <c r="J171" s="3" t="n">
        <f aca="false">IF(D171=0,"",I171/D171)</f>
        <v>0.5</v>
      </c>
      <c r="K171" s="4" t="n">
        <f aca="false">IF(D171=0,"",E171/D171)</f>
        <v>2.5</v>
      </c>
      <c r="L171" s="2" t="n">
        <v>0</v>
      </c>
      <c r="M171" s="2" t="n">
        <v>1</v>
      </c>
      <c r="N171" s="2" t="n">
        <v>4</v>
      </c>
      <c r="O171" s="2"/>
    </row>
    <row r="172" customFormat="false" ht="15" hidden="false" customHeight="false" outlineLevel="0" collapsed="false">
      <c r="A172" s="2" t="s">
        <v>363</v>
      </c>
      <c r="B172" s="2" t="s">
        <v>364</v>
      </c>
      <c r="C172" s="2" t="s">
        <v>91</v>
      </c>
      <c r="D172" s="2" t="n">
        <v>2</v>
      </c>
      <c r="E172" s="2" t="n">
        <f aca="false">F172+G172+H172</f>
        <v>1</v>
      </c>
      <c r="F172" s="2" t="n">
        <v>0</v>
      </c>
      <c r="G172" s="2" t="n">
        <v>1</v>
      </c>
      <c r="H172" s="2" t="n">
        <v>0</v>
      </c>
      <c r="I172" s="2" t="n">
        <v>1</v>
      </c>
      <c r="J172" s="3" t="n">
        <f aca="false">IF(D172=0,"",I172/D172)</f>
        <v>0.5</v>
      </c>
      <c r="K172" s="4" t="n">
        <f aca="false">IF(D172=0,"",E172/D172)</f>
        <v>0.5</v>
      </c>
      <c r="L172" s="2" t="n">
        <v>0</v>
      </c>
      <c r="M172" s="2" t="n">
        <v>1</v>
      </c>
      <c r="N172" s="2" t="n">
        <v>0</v>
      </c>
      <c r="O172" s="2"/>
    </row>
    <row r="173" customFormat="false" ht="15" hidden="false" customHeight="false" outlineLevel="0" collapsed="false">
      <c r="A173" s="2" t="s">
        <v>365</v>
      </c>
      <c r="B173" s="2" t="s">
        <v>366</v>
      </c>
      <c r="C173" s="2" t="s">
        <v>41</v>
      </c>
      <c r="D173" s="2" t="n">
        <v>2</v>
      </c>
      <c r="E173" s="2" t="n">
        <f aca="false">F173+G173+H173</f>
        <v>2</v>
      </c>
      <c r="F173" s="2" t="n">
        <v>0</v>
      </c>
      <c r="G173" s="2" t="n">
        <v>2</v>
      </c>
      <c r="H173" s="2" t="n">
        <v>0</v>
      </c>
      <c r="I173" s="2" t="n">
        <v>0</v>
      </c>
      <c r="J173" s="3" t="n">
        <f aca="false">IF(D173=0,"",I173/D173)</f>
        <v>0</v>
      </c>
      <c r="K173" s="4" t="n">
        <f aca="false">IF(D173=0,"",E173/D173)</f>
        <v>1</v>
      </c>
      <c r="L173" s="2" t="n">
        <v>1</v>
      </c>
      <c r="M173" s="2" t="n">
        <v>1</v>
      </c>
      <c r="N173" s="2" t="n">
        <v>0</v>
      </c>
      <c r="O173" s="2"/>
    </row>
    <row r="174" customFormat="false" ht="15" hidden="false" customHeight="false" outlineLevel="0" collapsed="false">
      <c r="A174" s="2" t="s">
        <v>367</v>
      </c>
      <c r="B174" s="2" t="s">
        <v>368</v>
      </c>
      <c r="C174" s="2" t="s">
        <v>86</v>
      </c>
      <c r="D174" s="2" t="n">
        <v>2</v>
      </c>
      <c r="E174" s="2" t="n">
        <f aca="false">F174+G174+H174</f>
        <v>1</v>
      </c>
      <c r="F174" s="2" t="n">
        <v>1</v>
      </c>
      <c r="G174" s="2" t="n">
        <v>0</v>
      </c>
      <c r="H174" s="2" t="n">
        <v>0</v>
      </c>
      <c r="I174" s="2" t="n">
        <v>0</v>
      </c>
      <c r="J174" s="3" t="n">
        <f aca="false">IF(D174=0,"",I174/D174)</f>
        <v>0</v>
      </c>
      <c r="K174" s="4" t="n">
        <f aca="false">IF(D174=0,"",E174/D174)</f>
        <v>0.5</v>
      </c>
      <c r="L174" s="2" t="n">
        <v>0</v>
      </c>
      <c r="M174" s="2" t="n">
        <v>1</v>
      </c>
      <c r="N174" s="2" t="n">
        <v>0</v>
      </c>
      <c r="O174" s="2"/>
    </row>
    <row r="175" customFormat="false" ht="15" hidden="false" customHeight="false" outlineLevel="0" collapsed="false">
      <c r="A175" s="2" t="s">
        <v>369</v>
      </c>
      <c r="B175" s="2" t="s">
        <v>370</v>
      </c>
      <c r="C175" s="2" t="s">
        <v>41</v>
      </c>
      <c r="D175" s="2" t="n">
        <v>2</v>
      </c>
      <c r="E175" s="2" t="n">
        <f aca="false">F175+G175+H175</f>
        <v>2</v>
      </c>
      <c r="F175" s="2" t="n">
        <v>0</v>
      </c>
      <c r="G175" s="2" t="n">
        <v>2</v>
      </c>
      <c r="H175" s="2" t="n">
        <v>0</v>
      </c>
      <c r="I175" s="2" t="n">
        <v>0</v>
      </c>
      <c r="J175" s="3" t="n">
        <f aca="false">IF(D175=0,"",I175/D175)</f>
        <v>0</v>
      </c>
      <c r="K175" s="4" t="n">
        <f aca="false">IF(D175=0,"",E175/D175)</f>
        <v>1</v>
      </c>
      <c r="L175" s="2" t="n">
        <v>1</v>
      </c>
      <c r="M175" s="2" t="n">
        <v>0</v>
      </c>
      <c r="N175" s="2" t="n">
        <v>1</v>
      </c>
      <c r="O175" s="2"/>
    </row>
    <row r="176" customFormat="false" ht="15" hidden="false" customHeight="false" outlineLevel="0" collapsed="false">
      <c r="A176" s="2" t="s">
        <v>371</v>
      </c>
      <c r="B176" s="2" t="s">
        <v>372</v>
      </c>
      <c r="C176" s="2" t="s">
        <v>41</v>
      </c>
      <c r="D176" s="2" t="n">
        <v>1</v>
      </c>
      <c r="E176" s="2" t="n">
        <f aca="false">F176+G176+H176</f>
        <v>1</v>
      </c>
      <c r="F176" s="2" t="n">
        <v>0</v>
      </c>
      <c r="G176" s="2" t="n">
        <v>1</v>
      </c>
      <c r="H176" s="2" t="n">
        <v>0</v>
      </c>
      <c r="I176" s="2" t="n">
        <v>0</v>
      </c>
      <c r="J176" s="3" t="n">
        <f aca="false">IF(D176=0,"",I176/D176)</f>
        <v>0</v>
      </c>
      <c r="K176" s="4" t="n">
        <f aca="false">IF(D176=0,"",E176/D176)</f>
        <v>1</v>
      </c>
      <c r="L176" s="2" t="n">
        <v>1</v>
      </c>
      <c r="M176" s="2" t="n">
        <v>0</v>
      </c>
      <c r="N176" s="2" t="n">
        <v>0</v>
      </c>
      <c r="O176" s="2"/>
    </row>
    <row r="177" customFormat="false" ht="15" hidden="false" customHeight="false" outlineLevel="0" collapsed="false">
      <c r="A177" s="2" t="s">
        <v>373</v>
      </c>
      <c r="B177" s="2" t="s">
        <v>374</v>
      </c>
      <c r="C177" s="2" t="s">
        <v>17</v>
      </c>
      <c r="D177" s="2" t="n">
        <v>1</v>
      </c>
      <c r="E177" s="2" t="n">
        <f aca="false">F177+G177+H177</f>
        <v>2</v>
      </c>
      <c r="F177" s="2" t="n">
        <v>0</v>
      </c>
      <c r="G177" s="2" t="n">
        <v>2</v>
      </c>
      <c r="H177" s="2" t="n">
        <v>0</v>
      </c>
      <c r="I177" s="2" t="n">
        <v>0</v>
      </c>
      <c r="J177" s="3" t="n">
        <f aca="false">IF(D177=0,"",I177/D177)</f>
        <v>0</v>
      </c>
      <c r="K177" s="4" t="n">
        <f aca="false">IF(D177=0,"",E177/D177)</f>
        <v>2</v>
      </c>
      <c r="L177" s="2" t="n">
        <v>1</v>
      </c>
      <c r="M177" s="2" t="n">
        <v>1</v>
      </c>
      <c r="N177" s="2" t="n">
        <v>0</v>
      </c>
      <c r="O177" s="2"/>
    </row>
    <row r="178" customFormat="false" ht="15" hidden="false" customHeight="false" outlineLevel="0" collapsed="false">
      <c r="A178" s="2" t="s">
        <v>375</v>
      </c>
      <c r="B178" s="2" t="s">
        <v>376</v>
      </c>
      <c r="C178" s="2" t="s">
        <v>17</v>
      </c>
      <c r="D178" s="2" t="n">
        <v>1</v>
      </c>
      <c r="E178" s="2" t="n">
        <f aca="false">F178+G178+H178</f>
        <v>2</v>
      </c>
      <c r="F178" s="2" t="n">
        <v>0</v>
      </c>
      <c r="G178" s="2" t="n">
        <v>2</v>
      </c>
      <c r="H178" s="2" t="n">
        <v>0</v>
      </c>
      <c r="I178" s="2" t="n">
        <v>0</v>
      </c>
      <c r="J178" s="3" t="n">
        <f aca="false">IF(D178=0,"",I178/D178)</f>
        <v>0</v>
      </c>
      <c r="K178" s="4" t="n">
        <f aca="false">IF(D178=0,"",E178/D178)</f>
        <v>2</v>
      </c>
      <c r="L178" s="2" t="n">
        <v>0</v>
      </c>
      <c r="M178" s="2" t="n">
        <v>2</v>
      </c>
      <c r="N178" s="2" t="n">
        <v>0</v>
      </c>
      <c r="O178" s="2"/>
    </row>
    <row r="179" customFormat="false" ht="15" hidden="false" customHeight="false" outlineLevel="0" collapsed="false">
      <c r="A179" s="2" t="s">
        <v>377</v>
      </c>
      <c r="B179" s="2" t="s">
        <v>378</v>
      </c>
      <c r="C179" s="2" t="s">
        <v>17</v>
      </c>
      <c r="D179" s="2" t="n">
        <v>1</v>
      </c>
      <c r="E179" s="2" t="n">
        <f aca="false">F179+G179+H179</f>
        <v>0</v>
      </c>
      <c r="F179" s="2" t="n">
        <v>0</v>
      </c>
      <c r="G179" s="2" t="n">
        <v>0</v>
      </c>
      <c r="H179" s="2" t="n">
        <v>0</v>
      </c>
      <c r="I179" s="2" t="n">
        <v>1</v>
      </c>
      <c r="J179" s="3" t="n">
        <f aca="false">IF(D179=0,"",I179/D179)</f>
        <v>1</v>
      </c>
      <c r="K179" s="4" t="n">
        <f aca="false">IF(D179=0,"",E179/D179)</f>
        <v>0</v>
      </c>
      <c r="L179" s="2" t="n">
        <v>0</v>
      </c>
      <c r="M179" s="2" t="n">
        <v>0</v>
      </c>
      <c r="N179" s="2" t="n">
        <v>0</v>
      </c>
      <c r="O179" s="2"/>
    </row>
    <row r="180" customFormat="false" ht="15" hidden="false" customHeight="false" outlineLevel="0" collapsed="false">
      <c r="A180" s="2" t="s">
        <v>379</v>
      </c>
      <c r="B180" s="2" t="s">
        <v>380</v>
      </c>
      <c r="C180" s="2" t="s">
        <v>17</v>
      </c>
      <c r="D180" s="2" t="n">
        <v>1</v>
      </c>
      <c r="E180" s="2" t="n">
        <f aca="false">F180+G180+H180</f>
        <v>1</v>
      </c>
      <c r="F180" s="2" t="n">
        <v>0</v>
      </c>
      <c r="G180" s="2" t="n">
        <v>1</v>
      </c>
      <c r="H180" s="2" t="n">
        <v>0</v>
      </c>
      <c r="I180" s="2" t="n">
        <v>0</v>
      </c>
      <c r="J180" s="3" t="n">
        <f aca="false">IF(D180=0,"",I180/D180)</f>
        <v>0</v>
      </c>
      <c r="K180" s="4" t="n">
        <f aca="false">IF(D180=0,"",E180/D180)</f>
        <v>1</v>
      </c>
      <c r="L180" s="2" t="n">
        <v>1</v>
      </c>
      <c r="M180" s="2" t="n">
        <v>0</v>
      </c>
      <c r="N180" s="2" t="n">
        <v>0</v>
      </c>
      <c r="O180" s="2"/>
    </row>
    <row r="181" customFormat="false" ht="15" hidden="false" customHeight="false" outlineLevel="0" collapsed="false">
      <c r="A181" s="2" t="s">
        <v>381</v>
      </c>
      <c r="B181" s="2" t="s">
        <v>382</v>
      </c>
      <c r="C181" s="2" t="s">
        <v>17</v>
      </c>
      <c r="D181" s="2" t="n">
        <v>1</v>
      </c>
      <c r="E181" s="2" t="n">
        <f aca="false">F181+G181+H181</f>
        <v>1</v>
      </c>
      <c r="F181" s="2" t="n">
        <v>0</v>
      </c>
      <c r="G181" s="2" t="n">
        <v>1</v>
      </c>
      <c r="H181" s="2" t="n">
        <v>0</v>
      </c>
      <c r="I181" s="2" t="n">
        <v>0</v>
      </c>
      <c r="J181" s="3" t="n">
        <f aca="false">IF(D181=0,"",I181/D181)</f>
        <v>0</v>
      </c>
      <c r="K181" s="4" t="n">
        <f aca="false">IF(D181=0,"",E181/D181)</f>
        <v>1</v>
      </c>
      <c r="L181" s="2" t="n">
        <v>0</v>
      </c>
      <c r="M181" s="2" t="n">
        <v>1</v>
      </c>
      <c r="N181" s="2" t="n">
        <v>0</v>
      </c>
      <c r="O181" s="2"/>
    </row>
    <row r="182" customFormat="false" ht="15" hidden="false" customHeight="false" outlineLevel="0" collapsed="false">
      <c r="A182" s="2" t="s">
        <v>383</v>
      </c>
      <c r="B182" s="2" t="s">
        <v>384</v>
      </c>
      <c r="C182" s="2" t="s">
        <v>17</v>
      </c>
      <c r="D182" s="2" t="n">
        <v>1</v>
      </c>
      <c r="E182" s="2" t="n">
        <f aca="false">F182+G182+H182</f>
        <v>1</v>
      </c>
      <c r="F182" s="2" t="n">
        <v>0</v>
      </c>
      <c r="G182" s="2" t="n">
        <v>1</v>
      </c>
      <c r="H182" s="2" t="n">
        <v>0</v>
      </c>
      <c r="I182" s="2" t="n">
        <v>0</v>
      </c>
      <c r="J182" s="3" t="n">
        <f aca="false">IF(D182=0,"",I182/D182)</f>
        <v>0</v>
      </c>
      <c r="K182" s="4" t="n">
        <f aca="false">IF(D182=0,"",E182/D182)</f>
        <v>1</v>
      </c>
      <c r="L182" s="2" t="n">
        <v>0</v>
      </c>
      <c r="M182" s="2" t="n">
        <v>1</v>
      </c>
      <c r="N182" s="2" t="n">
        <v>0</v>
      </c>
      <c r="O182" s="2"/>
    </row>
    <row r="183" customFormat="false" ht="15" hidden="false" customHeight="false" outlineLevel="0" collapsed="false">
      <c r="A183" s="2" t="s">
        <v>385</v>
      </c>
      <c r="B183" s="2" t="s">
        <v>386</v>
      </c>
      <c r="C183" s="2" t="s">
        <v>23</v>
      </c>
      <c r="D183" s="2" t="n">
        <v>1</v>
      </c>
      <c r="E183" s="2" t="n">
        <f aca="false">F183+G183+H183</f>
        <v>1</v>
      </c>
      <c r="F183" s="2" t="n">
        <v>0</v>
      </c>
      <c r="G183" s="2" t="n">
        <v>1</v>
      </c>
      <c r="H183" s="2" t="n">
        <v>0</v>
      </c>
      <c r="I183" s="2" t="n">
        <v>0</v>
      </c>
      <c r="J183" s="3" t="n">
        <f aca="false">IF(D183=0,"",I183/D183)</f>
        <v>0</v>
      </c>
      <c r="K183" s="4" t="n">
        <f aca="false">IF(D183=0,"",E183/D183)</f>
        <v>1</v>
      </c>
      <c r="L183" s="2" t="n">
        <v>1</v>
      </c>
      <c r="M183" s="2" t="n">
        <v>0</v>
      </c>
      <c r="N183" s="2" t="n">
        <v>0</v>
      </c>
      <c r="O183" s="2"/>
    </row>
    <row r="184" customFormat="false" ht="15" hidden="false" customHeight="false" outlineLevel="0" collapsed="false">
      <c r="A184" s="2" t="s">
        <v>387</v>
      </c>
      <c r="B184" s="2" t="s">
        <v>388</v>
      </c>
      <c r="C184" s="2" t="s">
        <v>86</v>
      </c>
      <c r="D184" s="2" t="n">
        <v>1</v>
      </c>
      <c r="E184" s="2" t="n">
        <f aca="false">F184+G184+H184</f>
        <v>1</v>
      </c>
      <c r="F184" s="2" t="n">
        <v>0</v>
      </c>
      <c r="G184" s="2" t="n">
        <v>1</v>
      </c>
      <c r="H184" s="2" t="n">
        <v>0</v>
      </c>
      <c r="I184" s="2" t="n">
        <v>0</v>
      </c>
      <c r="J184" s="3" t="n">
        <f aca="false">IF(D184=0,"",I184/D184)</f>
        <v>0</v>
      </c>
      <c r="K184" s="4" t="n">
        <f aca="false">IF(D184=0,"",E184/D184)</f>
        <v>1</v>
      </c>
      <c r="L184" s="2" t="n">
        <v>1</v>
      </c>
      <c r="M184" s="2" t="n">
        <v>0</v>
      </c>
      <c r="N184" s="2" t="n">
        <v>0</v>
      </c>
      <c r="O184" s="2"/>
    </row>
    <row r="185" customFormat="false" ht="15" hidden="false" customHeight="false" outlineLevel="0" collapsed="false">
      <c r="A185" s="2" t="s">
        <v>389</v>
      </c>
      <c r="B185" s="2" t="s">
        <v>390</v>
      </c>
      <c r="C185" s="2" t="s">
        <v>41</v>
      </c>
      <c r="D185" s="2" t="n">
        <v>1</v>
      </c>
      <c r="E185" s="2" t="n">
        <f aca="false">F185+G185+H185</f>
        <v>1</v>
      </c>
      <c r="F185" s="2" t="n">
        <v>0</v>
      </c>
      <c r="G185" s="2" t="n">
        <v>1</v>
      </c>
      <c r="H185" s="2" t="n">
        <v>0</v>
      </c>
      <c r="I185" s="2" t="n">
        <v>0</v>
      </c>
      <c r="J185" s="3" t="n">
        <f aca="false">IF(D185=0,"",I185/D185)</f>
        <v>0</v>
      </c>
      <c r="K185" s="4" t="n">
        <f aca="false">IF(D185=0,"",E185/D185)</f>
        <v>1</v>
      </c>
      <c r="L185" s="2" t="n">
        <v>0</v>
      </c>
      <c r="M185" s="2" t="n">
        <v>0</v>
      </c>
      <c r="N185" s="2" t="n">
        <v>1</v>
      </c>
      <c r="O185" s="2"/>
    </row>
    <row r="186" customFormat="false" ht="15" hidden="false" customHeight="false" outlineLevel="0" collapsed="false">
      <c r="A186" s="2" t="s">
        <v>391</v>
      </c>
      <c r="B186" s="2" t="s">
        <v>392</v>
      </c>
      <c r="C186" s="2" t="s">
        <v>86</v>
      </c>
      <c r="D186" s="2" t="n">
        <v>1</v>
      </c>
      <c r="E186" s="2" t="n">
        <f aca="false">F186+G186+H186</f>
        <v>2</v>
      </c>
      <c r="F186" s="2" t="n">
        <v>0</v>
      </c>
      <c r="G186" s="2" t="n">
        <v>2</v>
      </c>
      <c r="H186" s="2" t="n">
        <v>0</v>
      </c>
      <c r="I186" s="2" t="n">
        <v>0</v>
      </c>
      <c r="J186" s="3" t="n">
        <f aca="false">IF(D186=0,"",I186/D186)</f>
        <v>0</v>
      </c>
      <c r="K186" s="4" t="n">
        <f aca="false">IF(D186=0,"",E186/D186)</f>
        <v>2</v>
      </c>
      <c r="L186" s="2" t="n">
        <v>1</v>
      </c>
      <c r="M186" s="2" t="n">
        <v>1</v>
      </c>
      <c r="N186" s="2" t="n">
        <v>0</v>
      </c>
      <c r="O186" s="2"/>
    </row>
    <row r="187" customFormat="false" ht="15" hidden="false" customHeight="false" outlineLevel="0" collapsed="false">
      <c r="A187" s="2" t="s">
        <v>393</v>
      </c>
      <c r="B187" s="2" t="s">
        <v>394</v>
      </c>
      <c r="C187" s="2" t="s">
        <v>86</v>
      </c>
      <c r="D187" s="2" t="n">
        <v>1</v>
      </c>
      <c r="E187" s="2" t="n">
        <f aca="false">F187+G187+H187</f>
        <v>0</v>
      </c>
      <c r="F187" s="2" t="n">
        <v>0</v>
      </c>
      <c r="G187" s="2" t="n">
        <v>0</v>
      </c>
      <c r="H187" s="2" t="n">
        <v>0</v>
      </c>
      <c r="I187" s="2" t="n">
        <v>1</v>
      </c>
      <c r="J187" s="3" t="n">
        <f aca="false">IF(D187=0,"",I187/D187)</f>
        <v>1</v>
      </c>
      <c r="K187" s="4" t="n">
        <f aca="false">IF(D187=0,"",E187/D187)</f>
        <v>0</v>
      </c>
      <c r="L187" s="2" t="n">
        <v>0</v>
      </c>
      <c r="M187" s="2" t="n">
        <v>0</v>
      </c>
      <c r="N187" s="2" t="n">
        <v>0</v>
      </c>
      <c r="O187" s="2"/>
    </row>
    <row r="188" customFormat="false" ht="15" hidden="false" customHeight="false" outlineLevel="0" collapsed="false">
      <c r="A188" s="2" t="s">
        <v>395</v>
      </c>
      <c r="B188" s="2" t="s">
        <v>396</v>
      </c>
      <c r="C188" s="2" t="s">
        <v>17</v>
      </c>
      <c r="D188" s="2" t="n">
        <v>1</v>
      </c>
      <c r="E188" s="2" t="n">
        <f aca="false">F188+G188+H188</f>
        <v>0</v>
      </c>
      <c r="F188" s="2" t="n">
        <v>0</v>
      </c>
      <c r="G188" s="2" t="n">
        <v>0</v>
      </c>
      <c r="H188" s="2" t="n">
        <v>0</v>
      </c>
      <c r="I188" s="2" t="n">
        <v>1</v>
      </c>
      <c r="J188" s="3" t="n">
        <f aca="false">IF(D188=0,"",I188/D188)</f>
        <v>1</v>
      </c>
      <c r="K188" s="4" t="n">
        <f aca="false">IF(D188=0,"",E188/D188)</f>
        <v>0</v>
      </c>
      <c r="L188" s="2" t="n">
        <v>0</v>
      </c>
      <c r="M188" s="2" t="n">
        <v>0</v>
      </c>
      <c r="N188" s="2" t="n">
        <v>0</v>
      </c>
      <c r="O188" s="2"/>
    </row>
    <row r="189" customFormat="false" ht="15" hidden="false" customHeight="false" outlineLevel="0" collapsed="false">
      <c r="A189" s="2" t="s">
        <v>397</v>
      </c>
      <c r="B189" s="2" t="s">
        <v>398</v>
      </c>
      <c r="C189" s="2" t="s">
        <v>86</v>
      </c>
      <c r="D189" s="2" t="n">
        <v>1</v>
      </c>
      <c r="E189" s="2" t="n">
        <f aca="false">F189+G189+H189</f>
        <v>1</v>
      </c>
      <c r="F189" s="2" t="n">
        <v>0</v>
      </c>
      <c r="G189" s="2" t="n">
        <v>1</v>
      </c>
      <c r="H189" s="2" t="n">
        <v>0</v>
      </c>
      <c r="I189" s="2" t="n">
        <v>0</v>
      </c>
      <c r="J189" s="3" t="n">
        <f aca="false">IF(D189=0,"",I189/D189)</f>
        <v>0</v>
      </c>
      <c r="K189" s="4" t="n">
        <f aca="false">IF(D189=0,"",E189/D189)</f>
        <v>1</v>
      </c>
      <c r="L189" s="2" t="n">
        <v>0</v>
      </c>
      <c r="M189" s="2" t="n">
        <v>1</v>
      </c>
      <c r="N189" s="2" t="n">
        <v>0</v>
      </c>
      <c r="O189" s="2"/>
    </row>
    <row r="190" customFormat="false" ht="15" hidden="false" customHeight="false" outlineLevel="0" collapsed="false">
      <c r="A190" s="2" t="s">
        <v>399</v>
      </c>
      <c r="B190" s="2" t="s">
        <v>400</v>
      </c>
      <c r="C190" s="2" t="s">
        <v>17</v>
      </c>
      <c r="D190" s="2" t="n">
        <v>1</v>
      </c>
      <c r="E190" s="2" t="n">
        <f aca="false">F190+G190+H190</f>
        <v>2</v>
      </c>
      <c r="F190" s="2" t="n">
        <v>0</v>
      </c>
      <c r="G190" s="2" t="n">
        <v>2</v>
      </c>
      <c r="H190" s="2" t="n">
        <v>0</v>
      </c>
      <c r="I190" s="2" t="n">
        <v>0</v>
      </c>
      <c r="J190" s="3" t="n">
        <f aca="false">IF(D190=0,"",I190/D190)</f>
        <v>0</v>
      </c>
      <c r="K190" s="4" t="n">
        <f aca="false">IF(D190=0,"",E190/D190)</f>
        <v>2</v>
      </c>
      <c r="L190" s="2" t="n">
        <v>1</v>
      </c>
      <c r="M190" s="2" t="n">
        <v>1</v>
      </c>
      <c r="N190" s="2" t="n">
        <v>0</v>
      </c>
      <c r="O190" s="2"/>
    </row>
    <row r="191" customFormat="false" ht="15" hidden="false" customHeight="false" outlineLevel="0" collapsed="false">
      <c r="A191" s="2" t="s">
        <v>401</v>
      </c>
      <c r="B191" s="2" t="s">
        <v>402</v>
      </c>
      <c r="C191" s="2" t="s">
        <v>17</v>
      </c>
      <c r="D191" s="2" t="n">
        <v>1</v>
      </c>
      <c r="E191" s="2" t="n">
        <f aca="false">F191+G191+H191</f>
        <v>1</v>
      </c>
      <c r="F191" s="2" t="n">
        <v>0</v>
      </c>
      <c r="G191" s="2" t="n">
        <v>1</v>
      </c>
      <c r="H191" s="2" t="n">
        <v>0</v>
      </c>
      <c r="I191" s="2" t="n">
        <v>0</v>
      </c>
      <c r="J191" s="3" t="n">
        <f aca="false">IF(D191=0,"",I191/D191)</f>
        <v>0</v>
      </c>
      <c r="K191" s="4" t="n">
        <f aca="false">IF(D191=0,"",E191/D191)</f>
        <v>1</v>
      </c>
      <c r="L191" s="2" t="n">
        <v>1</v>
      </c>
      <c r="M191" s="2" t="n">
        <v>0</v>
      </c>
      <c r="N191" s="2" t="n">
        <v>0</v>
      </c>
      <c r="O191" s="2"/>
    </row>
    <row r="192" customFormat="false" ht="15" hidden="false" customHeight="false" outlineLevel="0" collapsed="false">
      <c r="A192" s="2" t="s">
        <v>403</v>
      </c>
      <c r="B192" s="2" t="s">
        <v>404</v>
      </c>
      <c r="C192" s="2" t="s">
        <v>86</v>
      </c>
      <c r="D192" s="2" t="n">
        <v>1</v>
      </c>
      <c r="E192" s="2" t="n">
        <f aca="false">F192+G192+H192</f>
        <v>1</v>
      </c>
      <c r="F192" s="2" t="n">
        <v>0</v>
      </c>
      <c r="G192" s="2" t="n">
        <v>1</v>
      </c>
      <c r="H192" s="2" t="n">
        <v>0</v>
      </c>
      <c r="I192" s="2" t="n">
        <v>0</v>
      </c>
      <c r="J192" s="3" t="n">
        <f aca="false">IF(D192=0,"",I192/D192)</f>
        <v>0</v>
      </c>
      <c r="K192" s="4" t="n">
        <f aca="false">IF(D192=0,"",E192/D192)</f>
        <v>1</v>
      </c>
      <c r="L192" s="2" t="n">
        <v>1</v>
      </c>
      <c r="M192" s="2" t="n">
        <v>0</v>
      </c>
      <c r="N192" s="2" t="n">
        <v>0</v>
      </c>
      <c r="O192" s="2"/>
    </row>
    <row r="193" customFormat="false" ht="15" hidden="false" customHeight="false" outlineLevel="0" collapsed="false">
      <c r="A193" s="2" t="s">
        <v>405</v>
      </c>
      <c r="B193" s="2" t="s">
        <v>406</v>
      </c>
      <c r="C193" s="2" t="s">
        <v>41</v>
      </c>
      <c r="D193" s="2" t="n">
        <v>1</v>
      </c>
      <c r="E193" s="2" t="n">
        <f aca="false">F193+G193+H193</f>
        <v>1</v>
      </c>
      <c r="F193" s="2" t="n">
        <v>0</v>
      </c>
      <c r="G193" s="2" t="n">
        <v>1</v>
      </c>
      <c r="H193" s="2" t="n">
        <v>0</v>
      </c>
      <c r="I193" s="2" t="n">
        <v>0</v>
      </c>
      <c r="J193" s="3" t="n">
        <f aca="false">IF(D193=0,"",I193/D193)</f>
        <v>0</v>
      </c>
      <c r="K193" s="4" t="n">
        <f aca="false">IF(D193=0,"",E193/D193)</f>
        <v>1</v>
      </c>
      <c r="L193" s="2" t="n">
        <v>1</v>
      </c>
      <c r="M193" s="2" t="n">
        <v>0</v>
      </c>
      <c r="N193" s="2" t="n">
        <v>0</v>
      </c>
      <c r="O193" s="2"/>
    </row>
    <row r="194" customFormat="false" ht="15" hidden="false" customHeight="false" outlineLevel="0" collapsed="false">
      <c r="A194" s="2" t="s">
        <v>407</v>
      </c>
      <c r="B194" s="2" t="s">
        <v>408</v>
      </c>
      <c r="C194" s="2" t="s">
        <v>86</v>
      </c>
      <c r="D194" s="2" t="n">
        <v>1</v>
      </c>
      <c r="E194" s="2" t="n">
        <f aca="false">F194+G194+H194</f>
        <v>1</v>
      </c>
      <c r="F194" s="2" t="n">
        <v>0</v>
      </c>
      <c r="G194" s="2" t="n">
        <v>1</v>
      </c>
      <c r="H194" s="2" t="n">
        <v>0</v>
      </c>
      <c r="I194" s="2" t="n">
        <v>0</v>
      </c>
      <c r="J194" s="3" t="n">
        <f aca="false">IF(D194=0,"",I194/D194)</f>
        <v>0</v>
      </c>
      <c r="K194" s="4" t="n">
        <f aca="false">IF(D194=0,"",E194/D194)</f>
        <v>1</v>
      </c>
      <c r="L194" s="2" t="n">
        <v>1</v>
      </c>
      <c r="M194" s="2" t="n">
        <v>0</v>
      </c>
      <c r="N194" s="2" t="n">
        <v>0</v>
      </c>
      <c r="O194" s="2"/>
    </row>
    <row r="195" customFormat="false" ht="15" hidden="false" customHeight="false" outlineLevel="0" collapsed="false">
      <c r="A195" s="2" t="s">
        <v>409</v>
      </c>
      <c r="B195" s="2" t="s">
        <v>410</v>
      </c>
      <c r="C195" s="2" t="s">
        <v>23</v>
      </c>
      <c r="D195" s="2" t="n">
        <v>1</v>
      </c>
      <c r="E195" s="2" t="n">
        <f aca="false">F195+G195+H195</f>
        <v>1</v>
      </c>
      <c r="F195" s="2" t="n">
        <v>0</v>
      </c>
      <c r="G195" s="2" t="n">
        <v>1</v>
      </c>
      <c r="H195" s="2" t="n">
        <v>0</v>
      </c>
      <c r="I195" s="2" t="n">
        <v>0</v>
      </c>
      <c r="J195" s="3" t="n">
        <f aca="false">IF(D195=0,"",I195/D195)</f>
        <v>0</v>
      </c>
      <c r="K195" s="4" t="n">
        <f aca="false">IF(D195=0,"",E195/D195)</f>
        <v>1</v>
      </c>
      <c r="L195" s="2" t="n">
        <v>1</v>
      </c>
      <c r="M195" s="2" t="n">
        <v>0</v>
      </c>
      <c r="N195" s="2" t="n">
        <v>0</v>
      </c>
      <c r="O195" s="2"/>
    </row>
    <row r="196" customFormat="false" ht="15" hidden="false" customHeight="false" outlineLevel="0" collapsed="false">
      <c r="A196" s="2" t="s">
        <v>411</v>
      </c>
      <c r="B196" s="2" t="s">
        <v>412</v>
      </c>
      <c r="C196" s="2" t="s">
        <v>86</v>
      </c>
      <c r="D196" s="2" t="n">
        <v>1</v>
      </c>
      <c r="E196" s="2" t="n">
        <f aca="false">F196+G196+H196</f>
        <v>1</v>
      </c>
      <c r="F196" s="2" t="n">
        <v>0</v>
      </c>
      <c r="G196" s="2" t="n">
        <v>1</v>
      </c>
      <c r="H196" s="2" t="n">
        <v>0</v>
      </c>
      <c r="I196" s="2" t="n">
        <v>0</v>
      </c>
      <c r="J196" s="3" t="n">
        <f aca="false">IF(D196=0,"",I196/D196)</f>
        <v>0</v>
      </c>
      <c r="K196" s="4" t="n">
        <f aca="false">IF(D196=0,"",E196/D196)</f>
        <v>1</v>
      </c>
      <c r="L196" s="2" t="n">
        <v>0</v>
      </c>
      <c r="M196" s="2" t="n">
        <v>1</v>
      </c>
      <c r="N196" s="2" t="n">
        <v>0</v>
      </c>
      <c r="O196" s="2"/>
    </row>
    <row r="197" customFormat="false" ht="15" hidden="false" customHeight="false" outlineLevel="0" collapsed="false">
      <c r="A197" s="2" t="s">
        <v>413</v>
      </c>
      <c r="B197" s="2" t="s">
        <v>414</v>
      </c>
      <c r="C197" s="2" t="s">
        <v>23</v>
      </c>
      <c r="D197" s="2" t="n">
        <v>1</v>
      </c>
      <c r="E197" s="2" t="n">
        <f aca="false">F197+G197+H197</f>
        <v>0</v>
      </c>
      <c r="F197" s="2" t="n">
        <v>0</v>
      </c>
      <c r="G197" s="2" t="n">
        <v>0</v>
      </c>
      <c r="H197" s="2" t="n">
        <v>0</v>
      </c>
      <c r="I197" s="2" t="n">
        <v>1</v>
      </c>
      <c r="J197" s="3" t="n">
        <f aca="false">IF(D197=0,"",I197/D197)</f>
        <v>1</v>
      </c>
      <c r="K197" s="4" t="n">
        <f aca="false">IF(D197=0,"",E197/D197)</f>
        <v>0</v>
      </c>
      <c r="L197" s="2" t="n">
        <v>0</v>
      </c>
      <c r="M197" s="2" t="n">
        <v>0</v>
      </c>
      <c r="N197" s="2" t="n">
        <v>0</v>
      </c>
      <c r="O197" s="2"/>
    </row>
    <row r="198" customFormat="false" ht="15" hidden="false" customHeight="false" outlineLevel="0" collapsed="false">
      <c r="A198" s="2" t="s">
        <v>415</v>
      </c>
      <c r="B198" s="2" t="s">
        <v>416</v>
      </c>
      <c r="C198" s="2" t="s">
        <v>86</v>
      </c>
      <c r="D198" s="2" t="n">
        <v>1</v>
      </c>
      <c r="E198" s="2" t="n">
        <f aca="false">F198+G198+H198</f>
        <v>0</v>
      </c>
      <c r="F198" s="2" t="n">
        <v>0</v>
      </c>
      <c r="G198" s="2" t="n">
        <v>0</v>
      </c>
      <c r="H198" s="2" t="n">
        <v>0</v>
      </c>
      <c r="I198" s="2" t="n">
        <v>1</v>
      </c>
      <c r="J198" s="3" t="n">
        <f aca="false">IF(D198=0,"",I198/D198)</f>
        <v>1</v>
      </c>
      <c r="K198" s="4" t="n">
        <f aca="false">IF(D198=0,"",E198/D198)</f>
        <v>0</v>
      </c>
      <c r="L198" s="2" t="n">
        <v>0</v>
      </c>
      <c r="M198" s="2" t="n">
        <v>0</v>
      </c>
      <c r="N198" s="2" t="n">
        <v>0</v>
      </c>
      <c r="O198" s="2"/>
    </row>
    <row r="199" customFormat="false" ht="15" hidden="false" customHeight="false" outlineLevel="0" collapsed="false">
      <c r="A199" s="2" t="s">
        <v>417</v>
      </c>
      <c r="B199" s="2" t="s">
        <v>418</v>
      </c>
      <c r="C199" s="2" t="s">
        <v>23</v>
      </c>
      <c r="D199" s="2" t="n">
        <v>1</v>
      </c>
      <c r="E199" s="2" t="n">
        <f aca="false">F199+G199+H199</f>
        <v>1</v>
      </c>
      <c r="F199" s="2" t="n">
        <v>0</v>
      </c>
      <c r="G199" s="2" t="n">
        <v>1</v>
      </c>
      <c r="H199" s="2" t="n">
        <v>0</v>
      </c>
      <c r="I199" s="2" t="n">
        <v>0</v>
      </c>
      <c r="J199" s="3" t="n">
        <f aca="false">IF(D199=0,"",I199/D199)</f>
        <v>0</v>
      </c>
      <c r="K199" s="4" t="n">
        <f aca="false">IF(D199=0,"",E199/D199)</f>
        <v>1</v>
      </c>
      <c r="L199" s="2" t="n">
        <v>1</v>
      </c>
      <c r="M199" s="2" t="n">
        <v>0</v>
      </c>
      <c r="N199" s="2" t="n">
        <v>0</v>
      </c>
      <c r="O199" s="2"/>
    </row>
    <row r="200" customFormat="false" ht="15" hidden="false" customHeight="false" outlineLevel="0" collapsed="false">
      <c r="A200" s="2" t="s">
        <v>419</v>
      </c>
      <c r="B200" s="2" t="s">
        <v>420</v>
      </c>
      <c r="C200" s="2" t="s">
        <v>86</v>
      </c>
      <c r="D200" s="2" t="n">
        <v>1</v>
      </c>
      <c r="E200" s="2" t="n">
        <f aca="false">F200+G200+H200</f>
        <v>2</v>
      </c>
      <c r="F200" s="2" t="n">
        <v>0</v>
      </c>
      <c r="G200" s="2" t="n">
        <v>2</v>
      </c>
      <c r="H200" s="2" t="n">
        <v>0</v>
      </c>
      <c r="I200" s="2" t="n">
        <v>0</v>
      </c>
      <c r="J200" s="3" t="n">
        <f aca="false">IF(D200=0,"",I200/D200)</f>
        <v>0</v>
      </c>
      <c r="K200" s="4" t="n">
        <f aca="false">IF(D200=0,"",E200/D200)</f>
        <v>2</v>
      </c>
      <c r="L200" s="2" t="n">
        <v>2</v>
      </c>
      <c r="M200" s="2" t="n">
        <v>0</v>
      </c>
      <c r="N200" s="2" t="n">
        <v>0</v>
      </c>
      <c r="O200" s="2"/>
    </row>
    <row r="201" customFormat="false" ht="15" hidden="false" customHeight="false" outlineLevel="0" collapsed="false">
      <c r="A201" s="2" t="s">
        <v>421</v>
      </c>
      <c r="B201" s="2" t="s">
        <v>422</v>
      </c>
      <c r="C201" s="2" t="s">
        <v>91</v>
      </c>
      <c r="D201" s="2" t="n">
        <v>1</v>
      </c>
      <c r="E201" s="2" t="n">
        <f aca="false">F201+G201+H201</f>
        <v>1</v>
      </c>
      <c r="F201" s="2" t="n">
        <v>0</v>
      </c>
      <c r="G201" s="2" t="n">
        <v>1</v>
      </c>
      <c r="H201" s="2" t="n">
        <v>0</v>
      </c>
      <c r="I201" s="2" t="n">
        <v>0</v>
      </c>
      <c r="J201" s="3" t="n">
        <f aca="false">IF(D201=0,"",I201/D201)</f>
        <v>0</v>
      </c>
      <c r="K201" s="4" t="n">
        <f aca="false">IF(D201=0,"",E201/D201)</f>
        <v>1</v>
      </c>
      <c r="L201" s="2" t="n">
        <v>1</v>
      </c>
      <c r="M201" s="2" t="n">
        <v>0</v>
      </c>
      <c r="N201" s="2" t="n">
        <v>0</v>
      </c>
      <c r="O201" s="2"/>
    </row>
    <row r="202" customFormat="false" ht="15" hidden="false" customHeight="false" outlineLevel="0" collapsed="false">
      <c r="A202" s="5"/>
      <c r="B202" s="5" t="s">
        <v>423</v>
      </c>
      <c r="C202" s="5"/>
      <c r="D202" s="5" t="n">
        <f aca="false">SUM(D2:D201)</f>
        <v>3652</v>
      </c>
      <c r="E202" s="5" t="n">
        <f aca="false">F202+G202+H202</f>
        <v>4410</v>
      </c>
      <c r="F202" s="5" t="n">
        <f aca="false">SUM(F2:F201)</f>
        <v>2248</v>
      </c>
      <c r="G202" s="5" t="n">
        <f aca="false">SUM(G2:G201)</f>
        <v>1081</v>
      </c>
      <c r="H202" s="5" t="n">
        <f aca="false">SUM(H2:H201)</f>
        <v>1081</v>
      </c>
      <c r="I202" s="5" t="n">
        <f aca="false">SUM(I2:I201)</f>
        <v>970</v>
      </c>
      <c r="J202" s="6" t="n">
        <f aca="false">I202/D202</f>
        <v>0.265607886089814</v>
      </c>
      <c r="K202" s="7" t="n">
        <f aca="false">E202/D202</f>
        <v>1.20755750273823</v>
      </c>
      <c r="L202" s="5" t="n">
        <f aca="false">SUM(L2:L201)</f>
        <v>1298</v>
      </c>
      <c r="M202" s="5" t="n">
        <f aca="false">SUM(M2:M201)</f>
        <v>1419</v>
      </c>
      <c r="N202" s="5" t="n">
        <f aca="false">SUM(N2:N201)</f>
        <v>602</v>
      </c>
      <c r="O202" s="5" t="s">
        <v>424</v>
      </c>
    </row>
  </sheetData>
  <autoFilter ref="A1:O201"/>
  <conditionalFormatting sqref="K2:K201">
    <cfRule type="cellIs" priority="2" operator="lessThan" aboveAverage="0" equalAverage="0" bottom="0" percent="0" rank="0" text="" dxfId="4">
      <formula>0.6</formula>
    </cfRule>
  </conditionalFormatting>
  <conditionalFormatting sqref="J2:J201">
    <cfRule type="cellIs" priority="3" operator="greaterThan" aboveAverage="0" equalAverage="0" bottom="0" percent="0" rank="0" text="" dxfId="4">
      <formula>0.4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26"/>
    <col collapsed="false" customWidth="true" hidden="false" outlineLevel="0" max="6" min="5" style="0" width="8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78"/>
  </cols>
  <sheetData>
    <row r="1" customFormat="false" ht="23.85" hidden="false" customHeight="false" outlineLevel="0" collapsed="false">
      <c r="A1" s="1" t="s">
        <v>425</v>
      </c>
      <c r="B1" s="1" t="s">
        <v>426</v>
      </c>
      <c r="C1" s="1" t="s">
        <v>0</v>
      </c>
      <c r="D1" s="1" t="s">
        <v>427</v>
      </c>
      <c r="E1" s="1" t="s">
        <v>3</v>
      </c>
      <c r="F1" s="1" t="s">
        <v>428</v>
      </c>
      <c r="G1" s="1" t="s">
        <v>8</v>
      </c>
      <c r="H1" s="1" t="s">
        <v>10</v>
      </c>
      <c r="I1" s="1" t="s">
        <v>429</v>
      </c>
    </row>
    <row r="2" customFormat="false" ht="15" hidden="false" customHeight="false" outlineLevel="0" collapsed="false">
      <c r="A2" s="2" t="s">
        <v>430</v>
      </c>
      <c r="B2" s="2" t="n">
        <v>1</v>
      </c>
      <c r="C2" s="2" t="s">
        <v>49</v>
      </c>
      <c r="D2" s="2" t="s">
        <v>50</v>
      </c>
      <c r="E2" s="2" t="n">
        <v>60</v>
      </c>
      <c r="F2" s="2" t="n">
        <v>10</v>
      </c>
      <c r="G2" s="2" t="n">
        <v>51</v>
      </c>
      <c r="H2" s="2" t="n">
        <v>0.17</v>
      </c>
      <c r="I2" s="2" t="s">
        <v>431</v>
      </c>
    </row>
    <row r="3" customFormat="false" ht="15" hidden="false" customHeight="false" outlineLevel="0" collapsed="false">
      <c r="A3" s="2" t="s">
        <v>430</v>
      </c>
      <c r="B3" s="2" t="n">
        <v>2</v>
      </c>
      <c r="C3" s="2" t="s">
        <v>30</v>
      </c>
      <c r="D3" s="2" t="s">
        <v>31</v>
      </c>
      <c r="E3" s="2" t="n">
        <v>109</v>
      </c>
      <c r="F3" s="2" t="n">
        <v>75</v>
      </c>
      <c r="G3" s="2" t="n">
        <v>50</v>
      </c>
      <c r="H3" s="2" t="n">
        <v>0.69</v>
      </c>
      <c r="I3" s="2" t="s">
        <v>432</v>
      </c>
    </row>
    <row r="4" customFormat="false" ht="15" hidden="false" customHeight="false" outlineLevel="0" collapsed="false">
      <c r="A4" s="2" t="s">
        <v>430</v>
      </c>
      <c r="B4" s="2" t="n">
        <v>3</v>
      </c>
      <c r="C4" s="2" t="s">
        <v>34</v>
      </c>
      <c r="D4" s="2" t="s">
        <v>35</v>
      </c>
      <c r="E4" s="2" t="n">
        <v>98</v>
      </c>
      <c r="F4" s="2" t="n">
        <v>61</v>
      </c>
      <c r="G4" s="2" t="n">
        <v>37</v>
      </c>
      <c r="H4" s="2" t="n">
        <v>0.62</v>
      </c>
      <c r="I4" s="2" t="s">
        <v>433</v>
      </c>
    </row>
    <row r="5" customFormat="false" ht="15" hidden="false" customHeight="false" outlineLevel="0" collapsed="false">
      <c r="A5" s="2" t="s">
        <v>430</v>
      </c>
      <c r="B5" s="2" t="n">
        <v>4</v>
      </c>
      <c r="C5" s="2" t="s">
        <v>74</v>
      </c>
      <c r="D5" s="2" t="s">
        <v>75</v>
      </c>
      <c r="E5" s="2" t="n">
        <v>38</v>
      </c>
      <c r="F5" s="2" t="n">
        <v>13</v>
      </c>
      <c r="G5" s="2" t="n">
        <v>30</v>
      </c>
      <c r="H5" s="2" t="n">
        <v>0.34</v>
      </c>
      <c r="I5" s="2" t="s">
        <v>434</v>
      </c>
    </row>
    <row r="6" customFormat="false" ht="15" hidden="false" customHeight="false" outlineLevel="0" collapsed="false">
      <c r="A6" s="2" t="s">
        <v>430</v>
      </c>
      <c r="B6" s="2" t="n">
        <v>5</v>
      </c>
      <c r="C6" s="2" t="s">
        <v>92</v>
      </c>
      <c r="D6" s="2" t="s">
        <v>93</v>
      </c>
      <c r="E6" s="2" t="n">
        <v>29</v>
      </c>
      <c r="F6" s="2" t="n">
        <v>2</v>
      </c>
      <c r="G6" s="2" t="n">
        <v>28</v>
      </c>
      <c r="H6" s="2" t="n">
        <v>0.07</v>
      </c>
      <c r="I6" s="2" t="s">
        <v>435</v>
      </c>
    </row>
    <row r="7" customFormat="false" ht="15" hidden="false" customHeight="false" outlineLevel="0" collapsed="false">
      <c r="A7" s="2" t="s">
        <v>430</v>
      </c>
      <c r="B7" s="2" t="n">
        <v>6</v>
      </c>
      <c r="C7" s="2" t="s">
        <v>56</v>
      </c>
      <c r="D7" s="2" t="s">
        <v>57</v>
      </c>
      <c r="E7" s="2" t="n">
        <v>52</v>
      </c>
      <c r="F7" s="2" t="n">
        <v>25</v>
      </c>
      <c r="G7" s="2" t="n">
        <v>25</v>
      </c>
      <c r="H7" s="2" t="n">
        <v>0.48</v>
      </c>
      <c r="I7" s="2" t="s">
        <v>436</v>
      </c>
    </row>
    <row r="8" customFormat="false" ht="15" hidden="false" customHeight="false" outlineLevel="0" collapsed="false">
      <c r="A8" s="2" t="s">
        <v>430</v>
      </c>
      <c r="B8" s="2" t="n">
        <v>7</v>
      </c>
      <c r="C8" s="2" t="s">
        <v>68</v>
      </c>
      <c r="D8" s="2" t="s">
        <v>69</v>
      </c>
      <c r="E8" s="2" t="n">
        <v>45</v>
      </c>
      <c r="F8" s="2" t="n">
        <v>23</v>
      </c>
      <c r="G8" s="2" t="n">
        <v>25</v>
      </c>
      <c r="H8" s="2" t="n">
        <v>0.51</v>
      </c>
      <c r="I8" s="2" t="s">
        <v>437</v>
      </c>
    </row>
    <row r="9" customFormat="false" ht="15" hidden="false" customHeight="false" outlineLevel="0" collapsed="false">
      <c r="A9" s="2" t="s">
        <v>430</v>
      </c>
      <c r="B9" s="2" t="n">
        <v>8</v>
      </c>
      <c r="C9" s="2" t="s">
        <v>54</v>
      </c>
      <c r="D9" s="2" t="s">
        <v>55</v>
      </c>
      <c r="E9" s="2" t="n">
        <v>53</v>
      </c>
      <c r="F9" s="2" t="n">
        <v>28</v>
      </c>
      <c r="G9" s="2" t="n">
        <v>23</v>
      </c>
      <c r="H9" s="2" t="n">
        <v>0.53</v>
      </c>
      <c r="I9" s="2" t="s">
        <v>438</v>
      </c>
    </row>
    <row r="10" customFormat="false" ht="15" hidden="false" customHeight="false" outlineLevel="0" collapsed="false">
      <c r="A10" s="2" t="s">
        <v>430</v>
      </c>
      <c r="B10" s="2" t="n">
        <v>9</v>
      </c>
      <c r="C10" s="2" t="s">
        <v>66</v>
      </c>
      <c r="D10" s="2" t="s">
        <v>67</v>
      </c>
      <c r="E10" s="2" t="n">
        <v>46</v>
      </c>
      <c r="F10" s="2" t="n">
        <v>20</v>
      </c>
      <c r="G10" s="2" t="n">
        <v>23</v>
      </c>
      <c r="H10" s="2" t="n">
        <v>0.43</v>
      </c>
      <c r="I10" s="2" t="s">
        <v>439</v>
      </c>
    </row>
    <row r="11" customFormat="false" ht="15" hidden="false" customHeight="false" outlineLevel="0" collapsed="false">
      <c r="A11" s="2" t="s">
        <v>430</v>
      </c>
      <c r="B11" s="2" t="n">
        <v>10</v>
      </c>
      <c r="C11" s="2" t="s">
        <v>70</v>
      </c>
      <c r="D11" s="2" t="s">
        <v>71</v>
      </c>
      <c r="E11" s="2" t="n">
        <v>41</v>
      </c>
      <c r="F11" s="2" t="n">
        <v>23</v>
      </c>
      <c r="G11" s="2" t="n">
        <v>21</v>
      </c>
      <c r="H11" s="2" t="n">
        <v>0.56</v>
      </c>
      <c r="I11" s="2" t="s">
        <v>440</v>
      </c>
    </row>
    <row r="12" customFormat="false" ht="15" hidden="false" customHeight="false" outlineLevel="0" collapsed="false">
      <c r="A12" s="2" t="s">
        <v>430</v>
      </c>
      <c r="B12" s="2" t="n">
        <v>11</v>
      </c>
      <c r="C12" s="2" t="s">
        <v>78</v>
      </c>
      <c r="D12" s="2" t="s">
        <v>79</v>
      </c>
      <c r="E12" s="2" t="n">
        <v>37</v>
      </c>
      <c r="F12" s="2" t="n">
        <v>14</v>
      </c>
      <c r="G12" s="2" t="n">
        <v>21</v>
      </c>
      <c r="H12" s="2" t="n">
        <v>0.38</v>
      </c>
      <c r="I12" s="2" t="s">
        <v>441</v>
      </c>
    </row>
    <row r="13" customFormat="false" ht="15" hidden="false" customHeight="false" outlineLevel="0" collapsed="false">
      <c r="A13" s="2" t="s">
        <v>430</v>
      </c>
      <c r="B13" s="2" t="n">
        <v>12</v>
      </c>
      <c r="C13" s="2" t="s">
        <v>64</v>
      </c>
      <c r="D13" s="2" t="s">
        <v>65</v>
      </c>
      <c r="E13" s="2" t="n">
        <v>46</v>
      </c>
      <c r="F13" s="2" t="n">
        <v>29</v>
      </c>
      <c r="G13" s="2" t="n">
        <v>19</v>
      </c>
      <c r="H13" s="2" t="n">
        <v>0.63</v>
      </c>
      <c r="I13" s="2" t="s">
        <v>442</v>
      </c>
    </row>
    <row r="14" customFormat="false" ht="15" hidden="false" customHeight="false" outlineLevel="0" collapsed="false">
      <c r="A14" s="2" t="s">
        <v>430</v>
      </c>
      <c r="B14" s="2" t="n">
        <v>13</v>
      </c>
      <c r="C14" s="2" t="s">
        <v>96</v>
      </c>
      <c r="D14" s="2" t="s">
        <v>97</v>
      </c>
      <c r="E14" s="2" t="n">
        <v>26</v>
      </c>
      <c r="F14" s="2" t="n">
        <v>6</v>
      </c>
      <c r="G14" s="2" t="n">
        <v>18</v>
      </c>
      <c r="H14" s="2" t="n">
        <v>0.23</v>
      </c>
      <c r="I14" s="2" t="s">
        <v>443</v>
      </c>
    </row>
    <row r="15" customFormat="false" ht="15" hidden="false" customHeight="false" outlineLevel="0" collapsed="false">
      <c r="A15" s="2" t="s">
        <v>430</v>
      </c>
      <c r="B15" s="2" t="n">
        <v>14</v>
      </c>
      <c r="C15" s="2" t="s">
        <v>102</v>
      </c>
      <c r="D15" s="2" t="s">
        <v>103</v>
      </c>
      <c r="E15" s="2" t="n">
        <v>25</v>
      </c>
      <c r="F15" s="2" t="n">
        <v>13</v>
      </c>
      <c r="G15" s="2" t="n">
        <v>18</v>
      </c>
      <c r="H15" s="2" t="n">
        <v>0.52</v>
      </c>
      <c r="I15" s="2" t="s">
        <v>444</v>
      </c>
    </row>
    <row r="16" customFormat="false" ht="15" hidden="false" customHeight="false" outlineLevel="0" collapsed="false">
      <c r="A16" s="2" t="s">
        <v>430</v>
      </c>
      <c r="B16" s="2" t="n">
        <v>15</v>
      </c>
      <c r="C16" s="2" t="s">
        <v>72</v>
      </c>
      <c r="D16" s="2" t="s">
        <v>73</v>
      </c>
      <c r="E16" s="2" t="n">
        <v>39</v>
      </c>
      <c r="F16" s="2" t="n">
        <v>25</v>
      </c>
      <c r="G16" s="2" t="n">
        <v>13</v>
      </c>
      <c r="H16" s="2" t="n">
        <v>0.64</v>
      </c>
      <c r="I16" s="2" t="s">
        <v>445</v>
      </c>
    </row>
    <row r="17" customFormat="false" ht="15" hidden="false" customHeight="false" outlineLevel="0" collapsed="false">
      <c r="A17" s="2" t="s">
        <v>430</v>
      </c>
      <c r="B17" s="2" t="n">
        <v>16</v>
      </c>
      <c r="C17" s="2" t="s">
        <v>60</v>
      </c>
      <c r="D17" s="2" t="s">
        <v>61</v>
      </c>
      <c r="E17" s="2" t="n">
        <v>50</v>
      </c>
      <c r="F17" s="2" t="n">
        <v>34</v>
      </c>
      <c r="G17" s="2" t="n">
        <v>12</v>
      </c>
      <c r="H17" s="2" t="n">
        <v>0.68</v>
      </c>
      <c r="I17" s="2"/>
    </row>
    <row r="18" customFormat="false" ht="15" hidden="false" customHeight="false" outlineLevel="0" collapsed="false">
      <c r="A18" s="2" t="s">
        <v>430</v>
      </c>
      <c r="B18" s="2" t="n">
        <v>17</v>
      </c>
      <c r="C18" s="2" t="s">
        <v>80</v>
      </c>
      <c r="D18" s="2" t="s">
        <v>81</v>
      </c>
      <c r="E18" s="2" t="n">
        <v>36</v>
      </c>
      <c r="F18" s="2" t="n">
        <v>25</v>
      </c>
      <c r="G18" s="2" t="n">
        <v>11</v>
      </c>
      <c r="H18" s="2" t="n">
        <v>0.69</v>
      </c>
      <c r="I18" s="2"/>
    </row>
    <row r="19" customFormat="false" ht="15" hidden="false" customHeight="false" outlineLevel="0" collapsed="false">
      <c r="A19" s="2" t="s">
        <v>430</v>
      </c>
      <c r="B19" s="2" t="n">
        <v>18</v>
      </c>
      <c r="C19" s="2" t="s">
        <v>106</v>
      </c>
      <c r="D19" s="2" t="s">
        <v>107</v>
      </c>
      <c r="E19" s="2" t="n">
        <v>20</v>
      </c>
      <c r="F19" s="2" t="n">
        <v>13</v>
      </c>
      <c r="G19" s="2" t="n">
        <v>7</v>
      </c>
      <c r="H19" s="2" t="n">
        <v>0.65</v>
      </c>
      <c r="I19" s="2" t="s">
        <v>446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5" hidden="false" customHeight="false" outlineLevel="0" collapsed="false">
      <c r="A21" s="2" t="s">
        <v>447</v>
      </c>
      <c r="B21" s="2" t="n">
        <v>1</v>
      </c>
      <c r="C21" s="2" t="s">
        <v>417</v>
      </c>
      <c r="D21" s="2" t="s">
        <v>418</v>
      </c>
      <c r="E21" s="2" t="n">
        <v>1</v>
      </c>
      <c r="F21" s="2" t="n">
        <v>1</v>
      </c>
      <c r="G21" s="2" t="n">
        <v>0</v>
      </c>
      <c r="H21" s="2" t="n">
        <v>1</v>
      </c>
      <c r="I21" s="2" t="s">
        <v>448</v>
      </c>
    </row>
    <row r="22" customFormat="false" ht="15" hidden="false" customHeight="false" outlineLevel="0" collapsed="false">
      <c r="A22" s="2" t="s">
        <v>447</v>
      </c>
      <c r="B22" s="2" t="n">
        <v>2</v>
      </c>
      <c r="C22" s="2" t="s">
        <v>363</v>
      </c>
      <c r="D22" s="2" t="s">
        <v>364</v>
      </c>
      <c r="E22" s="2" t="n">
        <v>2</v>
      </c>
      <c r="F22" s="2" t="n">
        <v>1</v>
      </c>
      <c r="G22" s="2" t="n">
        <v>1</v>
      </c>
      <c r="H22" s="2" t="n">
        <v>0.5</v>
      </c>
      <c r="I22" s="2" t="s">
        <v>449</v>
      </c>
    </row>
    <row r="23" customFormat="false" ht="15" hidden="false" customHeight="false" outlineLevel="0" collapsed="false">
      <c r="A23" s="2" t="s">
        <v>447</v>
      </c>
      <c r="B23" s="2" t="n">
        <v>3</v>
      </c>
      <c r="C23" s="2" t="s">
        <v>365</v>
      </c>
      <c r="D23" s="2" t="s">
        <v>366</v>
      </c>
      <c r="E23" s="2" t="n">
        <v>2</v>
      </c>
      <c r="F23" s="2" t="n">
        <v>2</v>
      </c>
      <c r="G23" s="2" t="n">
        <v>0</v>
      </c>
      <c r="H23" s="2" t="n">
        <v>1</v>
      </c>
      <c r="I23" s="2" t="s">
        <v>450</v>
      </c>
    </row>
    <row r="24" customFormat="false" ht="15" hidden="false" customHeight="false" outlineLevel="0" collapsed="false">
      <c r="A24" s="2" t="s">
        <v>447</v>
      </c>
      <c r="B24" s="2" t="n">
        <v>4</v>
      </c>
      <c r="C24" s="2" t="s">
        <v>369</v>
      </c>
      <c r="D24" s="2" t="s">
        <v>370</v>
      </c>
      <c r="E24" s="2" t="n">
        <v>2</v>
      </c>
      <c r="F24" s="2" t="n">
        <v>2</v>
      </c>
      <c r="G24" s="2" t="n">
        <v>0</v>
      </c>
      <c r="H24" s="2" t="n">
        <v>1</v>
      </c>
      <c r="I24" s="2" t="s">
        <v>451</v>
      </c>
    </row>
    <row r="25" customFormat="false" ht="15" hidden="false" customHeight="false" outlineLevel="0" collapsed="false">
      <c r="A25" s="2" t="s">
        <v>447</v>
      </c>
      <c r="B25" s="2" t="n">
        <v>5</v>
      </c>
      <c r="C25" s="2" t="s">
        <v>301</v>
      </c>
      <c r="D25" s="2" t="s">
        <v>302</v>
      </c>
      <c r="E25" s="2" t="n">
        <v>3</v>
      </c>
      <c r="F25" s="2" t="n">
        <v>3</v>
      </c>
      <c r="G25" s="2" t="n">
        <v>0</v>
      </c>
      <c r="H25" s="2" t="n">
        <v>1</v>
      </c>
      <c r="I25" s="2" t="s">
        <v>452</v>
      </c>
    </row>
    <row r="26" customFormat="false" ht="15" hidden="false" customHeight="false" outlineLevel="0" collapsed="false">
      <c r="A26" s="2" t="s">
        <v>447</v>
      </c>
      <c r="B26" s="2" t="n">
        <v>6</v>
      </c>
      <c r="C26" s="2" t="s">
        <v>317</v>
      </c>
      <c r="D26" s="2" t="s">
        <v>318</v>
      </c>
      <c r="E26" s="2" t="n">
        <v>3</v>
      </c>
      <c r="F26" s="2" t="n">
        <v>5</v>
      </c>
      <c r="G26" s="2" t="n">
        <v>0</v>
      </c>
      <c r="H26" s="2" t="n">
        <v>1.67</v>
      </c>
      <c r="I26" s="2" t="s">
        <v>453</v>
      </c>
    </row>
    <row r="27" customFormat="false" ht="15" hidden="false" customHeight="false" outlineLevel="0" collapsed="false">
      <c r="A27" s="2" t="s">
        <v>447</v>
      </c>
      <c r="B27" s="2" t="n">
        <v>7</v>
      </c>
      <c r="C27" s="2" t="s">
        <v>337</v>
      </c>
      <c r="D27" s="2" t="s">
        <v>338</v>
      </c>
      <c r="E27" s="2" t="n">
        <v>3</v>
      </c>
      <c r="F27" s="2" t="n">
        <v>4</v>
      </c>
      <c r="G27" s="2" t="n">
        <v>1</v>
      </c>
      <c r="H27" s="2" t="n">
        <v>1.33</v>
      </c>
      <c r="I27" s="2" t="s">
        <v>454</v>
      </c>
    </row>
    <row r="28" customFormat="false" ht="15" hidden="false" customHeight="false" outlineLevel="0" collapsed="false">
      <c r="A28" s="2" t="s">
        <v>447</v>
      </c>
      <c r="B28" s="2" t="n">
        <v>8</v>
      </c>
      <c r="C28" s="2" t="s">
        <v>323</v>
      </c>
      <c r="D28" s="2" t="s">
        <v>324</v>
      </c>
      <c r="E28" s="2" t="n">
        <v>3</v>
      </c>
      <c r="F28" s="2" t="n">
        <v>1</v>
      </c>
      <c r="G28" s="2" t="n">
        <v>2</v>
      </c>
      <c r="H28" s="2" t="n">
        <v>0.33</v>
      </c>
      <c r="I28" s="2" t="s">
        <v>455</v>
      </c>
    </row>
    <row r="29" customFormat="false" ht="15" hidden="false" customHeight="false" outlineLevel="0" collapsed="false">
      <c r="A29" s="2" t="s">
        <v>447</v>
      </c>
      <c r="B29" s="2" t="n">
        <v>9</v>
      </c>
      <c r="C29" s="2" t="s">
        <v>335</v>
      </c>
      <c r="D29" s="2" t="s">
        <v>336</v>
      </c>
      <c r="E29" s="2" t="n">
        <v>3</v>
      </c>
      <c r="F29" s="2" t="n">
        <v>4</v>
      </c>
      <c r="G29" s="2" t="n">
        <v>1</v>
      </c>
      <c r="H29" s="2" t="n">
        <v>1.33</v>
      </c>
      <c r="I29" s="2" t="s">
        <v>456</v>
      </c>
    </row>
    <row r="30" customFormat="false" ht="15" hidden="false" customHeight="false" outlineLevel="0" collapsed="false">
      <c r="A30" s="2" t="s">
        <v>447</v>
      </c>
      <c r="B30" s="2" t="n">
        <v>10</v>
      </c>
      <c r="C30" s="2" t="s">
        <v>303</v>
      </c>
      <c r="D30" s="2" t="s">
        <v>304</v>
      </c>
      <c r="E30" s="2" t="n">
        <v>3</v>
      </c>
      <c r="F30" s="2" t="n">
        <v>6</v>
      </c>
      <c r="G30" s="2" t="n">
        <v>0</v>
      </c>
      <c r="H30" s="2" t="n">
        <v>2</v>
      </c>
      <c r="I30" s="2" t="s">
        <v>457</v>
      </c>
    </row>
    <row r="31" customFormat="false" ht="15" hidden="false" customHeight="false" outlineLevel="0" collapsed="false">
      <c r="A31" s="2" t="s">
        <v>447</v>
      </c>
      <c r="B31" s="2" t="n">
        <v>11</v>
      </c>
      <c r="C31" s="2" t="s">
        <v>329</v>
      </c>
      <c r="D31" s="2" t="s">
        <v>330</v>
      </c>
      <c r="E31" s="2" t="n">
        <v>3</v>
      </c>
      <c r="F31" s="2" t="n">
        <v>4</v>
      </c>
      <c r="G31" s="2" t="n">
        <v>0</v>
      </c>
      <c r="H31" s="2" t="n">
        <v>1.33</v>
      </c>
      <c r="I31" s="2" t="s">
        <v>458</v>
      </c>
    </row>
    <row r="32" customFormat="false" ht="15" hidden="false" customHeight="false" outlineLevel="0" collapsed="false">
      <c r="A32" s="2" t="s">
        <v>447</v>
      </c>
      <c r="B32" s="2" t="n">
        <v>12</v>
      </c>
      <c r="C32" s="2" t="s">
        <v>305</v>
      </c>
      <c r="D32" s="2" t="s">
        <v>306</v>
      </c>
      <c r="E32" s="2" t="n">
        <v>3</v>
      </c>
      <c r="F32" s="2" t="n">
        <v>4</v>
      </c>
      <c r="G32" s="2" t="n">
        <v>1</v>
      </c>
      <c r="H32" s="2" t="n">
        <v>1.33</v>
      </c>
      <c r="I32" s="2" t="s">
        <v>459</v>
      </c>
    </row>
    <row r="33" customFormat="false" ht="15" hidden="false" customHeight="false" outlineLevel="0" collapsed="false">
      <c r="A33" s="2" t="s">
        <v>447</v>
      </c>
      <c r="B33" s="2" t="n">
        <v>13</v>
      </c>
      <c r="C33" s="2" t="s">
        <v>331</v>
      </c>
      <c r="D33" s="2" t="s">
        <v>332</v>
      </c>
      <c r="E33" s="2" t="n">
        <v>3</v>
      </c>
      <c r="F33" s="2" t="n">
        <v>6</v>
      </c>
      <c r="G33" s="2" t="n">
        <v>1</v>
      </c>
      <c r="H33" s="2" t="n">
        <v>2</v>
      </c>
      <c r="I33" s="2" t="s">
        <v>460</v>
      </c>
    </row>
    <row r="34" customFormat="false" ht="15" hidden="false" customHeight="false" outlineLevel="0" collapsed="false">
      <c r="A34" s="2" t="s">
        <v>447</v>
      </c>
      <c r="B34" s="2" t="n">
        <v>14</v>
      </c>
      <c r="C34" s="2" t="s">
        <v>315</v>
      </c>
      <c r="D34" s="2" t="s">
        <v>316</v>
      </c>
      <c r="E34" s="2" t="n">
        <v>3</v>
      </c>
      <c r="F34" s="2" t="n">
        <v>6</v>
      </c>
      <c r="G34" s="2" t="n">
        <v>0</v>
      </c>
      <c r="H34" s="2" t="n">
        <v>2</v>
      </c>
      <c r="I34" s="2" t="s">
        <v>461</v>
      </c>
    </row>
    <row r="35" customFormat="false" ht="15" hidden="false" customHeight="false" outlineLevel="0" collapsed="false">
      <c r="A35" s="2" t="s">
        <v>447</v>
      </c>
      <c r="B35" s="2" t="n">
        <v>15</v>
      </c>
      <c r="C35" s="2" t="s">
        <v>311</v>
      </c>
      <c r="D35" s="2" t="s">
        <v>312</v>
      </c>
      <c r="E35" s="2" t="n">
        <v>3</v>
      </c>
      <c r="F35" s="2" t="n">
        <v>4</v>
      </c>
      <c r="G35" s="2" t="n">
        <v>1</v>
      </c>
      <c r="H35" s="2" t="n">
        <v>1.33</v>
      </c>
      <c r="I35" s="2" t="s">
        <v>462</v>
      </c>
    </row>
    <row r="36" customFormat="false" ht="15" hidden="false" customHeight="false" outlineLevel="0" collapsed="false">
      <c r="A36" s="2" t="s">
        <v>447</v>
      </c>
      <c r="B36" s="2" t="n">
        <v>16</v>
      </c>
      <c r="C36" s="2" t="s">
        <v>309</v>
      </c>
      <c r="D36" s="2" t="s">
        <v>310</v>
      </c>
      <c r="E36" s="2" t="n">
        <v>3</v>
      </c>
      <c r="F36" s="2" t="n">
        <v>6</v>
      </c>
      <c r="G36" s="2" t="n">
        <v>1</v>
      </c>
      <c r="H36" s="2" t="n">
        <v>2</v>
      </c>
      <c r="I36" s="2" t="s">
        <v>463</v>
      </c>
    </row>
    <row r="37" customFormat="false" ht="15" hidden="false" customHeight="false" outlineLevel="0" collapsed="false">
      <c r="A37" s="2" t="s">
        <v>447</v>
      </c>
      <c r="B37" s="2" t="n">
        <v>17</v>
      </c>
      <c r="C37" s="2" t="s">
        <v>297</v>
      </c>
      <c r="D37" s="2" t="s">
        <v>298</v>
      </c>
      <c r="E37" s="2" t="n">
        <v>4</v>
      </c>
      <c r="F37" s="2" t="n">
        <v>5</v>
      </c>
      <c r="G37" s="2" t="n">
        <v>0</v>
      </c>
      <c r="H37" s="2" t="n">
        <v>1.25</v>
      </c>
      <c r="I37" s="2" t="s">
        <v>464</v>
      </c>
    </row>
    <row r="38" customFormat="false" ht="15" hidden="false" customHeight="false" outlineLevel="0" collapsed="false">
      <c r="A38" s="2" t="s">
        <v>447</v>
      </c>
      <c r="B38" s="2" t="n">
        <v>18</v>
      </c>
      <c r="C38" s="2" t="s">
        <v>283</v>
      </c>
      <c r="D38" s="2" t="s">
        <v>284</v>
      </c>
      <c r="E38" s="2" t="n">
        <v>4</v>
      </c>
      <c r="F38" s="2" t="n">
        <v>5</v>
      </c>
      <c r="G38" s="2" t="n">
        <v>1</v>
      </c>
      <c r="H38" s="2" t="n">
        <v>1.25</v>
      </c>
      <c r="I38" s="2" t="s">
        <v>465</v>
      </c>
    </row>
    <row r="39" customFormat="false" ht="15" hidden="false" customHeight="false" outlineLevel="0" collapsed="false">
      <c r="A39" s="2" t="s">
        <v>447</v>
      </c>
      <c r="B39" s="2" t="n">
        <v>19</v>
      </c>
      <c r="C39" s="2" t="s">
        <v>289</v>
      </c>
      <c r="D39" s="2" t="s">
        <v>290</v>
      </c>
      <c r="E39" s="2" t="n">
        <v>4</v>
      </c>
      <c r="F39" s="2" t="n">
        <v>4</v>
      </c>
      <c r="G39" s="2" t="n">
        <v>2</v>
      </c>
      <c r="H39" s="2" t="n">
        <v>1</v>
      </c>
      <c r="I39" s="2" t="s">
        <v>466</v>
      </c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14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" t="s">
        <v>2</v>
      </c>
      <c r="B1" s="1" t="s">
        <v>467</v>
      </c>
      <c r="C1" s="1" t="s">
        <v>3</v>
      </c>
      <c r="D1" s="1" t="s">
        <v>4</v>
      </c>
      <c r="E1" s="1" t="s">
        <v>8</v>
      </c>
      <c r="F1" s="1" t="s">
        <v>9</v>
      </c>
      <c r="G1" s="1" t="s">
        <v>10</v>
      </c>
    </row>
    <row r="2" customFormat="false" ht="15" hidden="false" customHeight="false" outlineLevel="0" collapsed="false">
      <c r="A2" s="2" t="s">
        <v>23</v>
      </c>
      <c r="B2" s="2" t="n">
        <v>34</v>
      </c>
      <c r="C2" s="2" t="n">
        <v>1007</v>
      </c>
      <c r="D2" s="2" t="n">
        <v>920</v>
      </c>
      <c r="E2" s="2" t="n">
        <v>322</v>
      </c>
      <c r="F2" s="3" t="n">
        <f aca="false">IF(C2=0,"",E2/C2)</f>
        <v>0.319761668321748</v>
      </c>
      <c r="G2" s="4" t="n">
        <f aca="false">IF(C2=0,"",D2/C2)</f>
        <v>0.913604766633565</v>
      </c>
    </row>
    <row r="3" customFormat="false" ht="15" hidden="false" customHeight="false" outlineLevel="0" collapsed="false">
      <c r="A3" s="2" t="s">
        <v>38</v>
      </c>
      <c r="B3" s="2" t="n">
        <v>12</v>
      </c>
      <c r="C3" s="2" t="n">
        <v>582</v>
      </c>
      <c r="D3" s="2" t="n">
        <v>396</v>
      </c>
      <c r="E3" s="2" t="n">
        <v>214</v>
      </c>
      <c r="F3" s="3" t="n">
        <f aca="false">IF(C3=0,"",E3/C3)</f>
        <v>0.367697594501718</v>
      </c>
      <c r="G3" s="4" t="n">
        <f aca="false">IF(C3=0,"",D3/C3)</f>
        <v>0.680412371134021</v>
      </c>
    </row>
    <row r="4" customFormat="false" ht="15" hidden="false" customHeight="false" outlineLevel="0" collapsed="false">
      <c r="A4" s="2" t="s">
        <v>17</v>
      </c>
      <c r="B4" s="2" t="n">
        <v>22</v>
      </c>
      <c r="C4" s="2" t="n">
        <v>576</v>
      </c>
      <c r="D4" s="2" t="n">
        <v>749</v>
      </c>
      <c r="E4" s="2" t="n">
        <v>39</v>
      </c>
      <c r="F4" s="3" t="n">
        <f aca="false">IF(C4=0,"",E4/C4)</f>
        <v>0.0677083333333333</v>
      </c>
      <c r="G4" s="4" t="n">
        <f aca="false">IF(C4=0,"",D4/C4)</f>
        <v>1.30034722222222</v>
      </c>
    </row>
    <row r="5" customFormat="false" ht="15" hidden="false" customHeight="false" outlineLevel="0" collapsed="false">
      <c r="A5" s="2" t="s">
        <v>41</v>
      </c>
      <c r="B5" s="2" t="n">
        <v>46</v>
      </c>
      <c r="C5" s="2" t="n">
        <v>516</v>
      </c>
      <c r="D5" s="2" t="n">
        <v>860</v>
      </c>
      <c r="E5" s="2" t="n">
        <v>52</v>
      </c>
      <c r="F5" s="3" t="n">
        <f aca="false">IF(C5=0,"",E5/C5)</f>
        <v>0.10077519379845</v>
      </c>
      <c r="G5" s="4" t="n">
        <f aca="false">IF(C5=0,"",D5/C5)</f>
        <v>1.66666666666667</v>
      </c>
    </row>
    <row r="6" customFormat="false" ht="15" hidden="false" customHeight="false" outlineLevel="0" collapsed="false">
      <c r="A6" s="2" t="s">
        <v>51</v>
      </c>
      <c r="B6" s="2" t="n">
        <v>54</v>
      </c>
      <c r="C6" s="2" t="n">
        <v>511</v>
      </c>
      <c r="D6" s="2" t="n">
        <v>304</v>
      </c>
      <c r="E6" s="2" t="n">
        <v>218</v>
      </c>
      <c r="F6" s="3" t="n">
        <f aca="false">IF(C6=0,"",E6/C6)</f>
        <v>0.426614481409002</v>
      </c>
      <c r="G6" s="4" t="n">
        <f aca="false">IF(C6=0,"",D6/C6)</f>
        <v>0.594911937377691</v>
      </c>
    </row>
    <row r="7" customFormat="false" ht="15" hidden="false" customHeight="false" outlineLevel="0" collapsed="false">
      <c r="A7" s="2" t="s">
        <v>19</v>
      </c>
      <c r="B7" s="2" t="n">
        <v>1</v>
      </c>
      <c r="C7" s="2" t="n">
        <v>221</v>
      </c>
      <c r="D7" s="2" t="n">
        <v>953</v>
      </c>
      <c r="E7" s="2" t="n">
        <v>53</v>
      </c>
      <c r="F7" s="3" t="n">
        <f aca="false">IF(C7=0,"",E7/C7)</f>
        <v>0.239819004524887</v>
      </c>
      <c r="G7" s="4" t="n">
        <f aca="false">IF(C7=0,"",D7/C7)</f>
        <v>4.31221719457014</v>
      </c>
    </row>
    <row r="8" customFormat="false" ht="15" hidden="false" customHeight="false" outlineLevel="0" collapsed="false">
      <c r="A8" s="2" t="s">
        <v>91</v>
      </c>
      <c r="B8" s="2" t="n">
        <v>14</v>
      </c>
      <c r="C8" s="2" t="n">
        <v>147</v>
      </c>
      <c r="D8" s="2" t="n">
        <v>118</v>
      </c>
      <c r="E8" s="2" t="n">
        <v>64</v>
      </c>
      <c r="F8" s="3" t="n">
        <f aca="false">IF(C8=0,"",E8/C8)</f>
        <v>0.435374149659864</v>
      </c>
      <c r="G8" s="4" t="n">
        <f aca="false">IF(C8=0,"",D8/C8)</f>
        <v>0.802721088435374</v>
      </c>
    </row>
    <row r="9" customFormat="false" ht="15" hidden="false" customHeight="false" outlineLevel="0" collapsed="false">
      <c r="A9" s="2" t="s">
        <v>86</v>
      </c>
      <c r="B9" s="2" t="n">
        <v>17</v>
      </c>
      <c r="C9" s="2" t="n">
        <v>92</v>
      </c>
      <c r="D9" s="2" t="n">
        <v>110</v>
      </c>
      <c r="E9" s="2" t="n">
        <v>8</v>
      </c>
      <c r="F9" s="3" t="n">
        <f aca="false">IF(C9=0,"",E9/C9)</f>
        <v>0.0869565217391304</v>
      </c>
      <c r="G9" s="4" t="n">
        <f aca="false">IF(C9=0,"",D9/C9)</f>
        <v>1.19565217391304</v>
      </c>
    </row>
    <row r="10" customFormat="false" ht="15" hidden="false" customHeight="false" outlineLevel="0" collapsed="false">
      <c r="A10" s="5" t="s">
        <v>423</v>
      </c>
      <c r="B10" s="5" t="n">
        <f aca="false">SUM(B2:B9)</f>
        <v>200</v>
      </c>
      <c r="C10" s="5" t="n">
        <f aca="false">SUM(C2:C9)</f>
        <v>3652</v>
      </c>
      <c r="D10" s="5" t="n">
        <f aca="false">SUM(D2:D9)</f>
        <v>4410</v>
      </c>
      <c r="E10" s="5" t="n">
        <f aca="false">SUM(E2:E9)</f>
        <v>970</v>
      </c>
      <c r="F10" s="6" t="n">
        <f aca="false">E10/C10</f>
        <v>0.265607886089814</v>
      </c>
      <c r="G10" s="7" t="n">
        <f aca="false">D10/C10</f>
        <v>1.20755750273823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8"/>
  </cols>
  <sheetData>
    <row r="1" customFormat="false" ht="29.85" hidden="false" customHeight="false" outlineLevel="0" collapsed="false">
      <c r="A1" s="8" t="s">
        <v>468</v>
      </c>
      <c r="B1" s="9"/>
    </row>
    <row r="2" customFormat="false" ht="15" hidden="false" customHeight="false" outlineLevel="0" collapsed="false">
      <c r="A2" s="9"/>
      <c r="B2" s="9"/>
    </row>
    <row r="3" customFormat="false" ht="15" hidden="false" customHeight="false" outlineLevel="0" collapsed="false">
      <c r="A3" s="9" t="s">
        <v>469</v>
      </c>
      <c r="B3" s="9" t="s">
        <v>470</v>
      </c>
    </row>
    <row r="4" customFormat="false" ht="15" hidden="false" customHeight="false" outlineLevel="0" collapsed="false">
      <c r="A4" s="9" t="s">
        <v>471</v>
      </c>
      <c r="B4" s="9" t="s">
        <v>472</v>
      </c>
    </row>
    <row r="5" customFormat="false" ht="15" hidden="false" customHeight="false" outlineLevel="0" collapsed="false">
      <c r="A5" s="9" t="s">
        <v>473</v>
      </c>
      <c r="B5" s="9" t="s">
        <v>474</v>
      </c>
    </row>
    <row r="6" customFormat="false" ht="15" hidden="false" customHeight="false" outlineLevel="0" collapsed="false">
      <c r="A6" s="9"/>
      <c r="B6" s="9"/>
    </row>
    <row r="7" customFormat="false" ht="15" hidden="false" customHeight="false" outlineLevel="0" collapsed="false">
      <c r="A7" s="10" t="s">
        <v>475</v>
      </c>
      <c r="B7" s="9"/>
    </row>
    <row r="8" customFormat="false" ht="15" hidden="false" customHeight="false" outlineLevel="0" collapsed="false">
      <c r="A8" s="9" t="s">
        <v>3</v>
      </c>
      <c r="B8" s="9" t="s">
        <v>476</v>
      </c>
    </row>
    <row r="9" customFormat="false" ht="15" hidden="false" customHeight="false" outlineLevel="0" collapsed="false">
      <c r="A9" s="9" t="s">
        <v>5</v>
      </c>
      <c r="B9" s="9" t="s">
        <v>477</v>
      </c>
    </row>
    <row r="10" customFormat="false" ht="15" hidden="false" customHeight="false" outlineLevel="0" collapsed="false">
      <c r="A10" s="9" t="s">
        <v>6</v>
      </c>
      <c r="B10" s="9" t="s">
        <v>478</v>
      </c>
    </row>
    <row r="11" customFormat="false" ht="15" hidden="false" customHeight="false" outlineLevel="0" collapsed="false">
      <c r="A11" s="9" t="s">
        <v>7</v>
      </c>
      <c r="B11" s="9" t="s">
        <v>479</v>
      </c>
    </row>
    <row r="12" customFormat="false" ht="23.85" hidden="false" customHeight="false" outlineLevel="0" collapsed="false">
      <c r="A12" s="9" t="s">
        <v>4</v>
      </c>
      <c r="B12" s="9" t="s">
        <v>480</v>
      </c>
    </row>
    <row r="13" customFormat="false" ht="15" hidden="false" customHeight="false" outlineLevel="0" collapsed="false">
      <c r="A13" s="9" t="s">
        <v>8</v>
      </c>
      <c r="B13" s="9" t="s">
        <v>481</v>
      </c>
    </row>
    <row r="14" customFormat="false" ht="15" hidden="false" customHeight="false" outlineLevel="0" collapsed="false">
      <c r="A14" s="9" t="s">
        <v>482</v>
      </c>
      <c r="B14" s="9" t="s">
        <v>483</v>
      </c>
    </row>
    <row r="15" customFormat="false" ht="15" hidden="false" customHeight="false" outlineLevel="0" collapsed="false">
      <c r="A15" s="9"/>
      <c r="B15" s="9"/>
    </row>
    <row r="16" customFormat="false" ht="15" hidden="false" customHeight="false" outlineLevel="0" collapsed="false">
      <c r="A16" s="10" t="s">
        <v>484</v>
      </c>
      <c r="B16" s="9"/>
    </row>
    <row r="17" customFormat="false" ht="15" hidden="false" customHeight="false" outlineLevel="0" collapsed="false">
      <c r="A17" s="9"/>
      <c r="B17" s="9" t="s">
        <v>485</v>
      </c>
    </row>
    <row r="18" customFormat="false" ht="23.85" hidden="false" customHeight="false" outlineLevel="0" collapsed="false">
      <c r="A18" s="9" t="s">
        <v>430</v>
      </c>
      <c r="B18" s="9" t="s">
        <v>486</v>
      </c>
    </row>
    <row r="19" customFormat="false" ht="15" hidden="false" customHeight="false" outlineLevel="0" collapsed="false">
      <c r="A19" s="9" t="s">
        <v>447</v>
      </c>
      <c r="B19" s="9" t="s">
        <v>487</v>
      </c>
    </row>
    <row r="20" customFormat="false" ht="15" hidden="false" customHeight="false" outlineLevel="0" collapsed="false">
      <c r="A20" s="9"/>
      <c r="B20" s="9"/>
    </row>
    <row r="21" customFormat="false" ht="15" hidden="false" customHeight="false" outlineLevel="0" collapsed="false">
      <c r="A21" s="10" t="s">
        <v>488</v>
      </c>
      <c r="B21" s="9"/>
    </row>
    <row r="22" customFormat="false" ht="23.85" hidden="false" customHeight="false" outlineLevel="0" collapsed="false">
      <c r="A22" s="9"/>
      <c r="B22" s="9" t="s">
        <v>489</v>
      </c>
    </row>
    <row r="23" customFormat="false" ht="15" hidden="false" customHeight="false" outlineLevel="0" collapsed="false">
      <c r="A23" s="9"/>
      <c r="B23" s="9" t="s">
        <v>490</v>
      </c>
    </row>
    <row r="24" customFormat="false" ht="23.85" hidden="false" customHeight="false" outlineLevel="0" collapsed="false">
      <c r="A24" s="9"/>
      <c r="B24" s="9" t="s">
        <v>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2026-09-10T22:39:32Z</dcterms:created>
  <dc:creator>openpyxl</dc:creator>
  <dc:description/>
  <dc:language>en-US</dc:language>
  <cp:lastModifiedBy/>
  <dcterms:modified xsi:type="dcterms:W3CDTF">2026-09-10T22:40:20Z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